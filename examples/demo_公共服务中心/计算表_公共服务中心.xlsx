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封面" sheetId="1" state="visible" r:id="rId1"/>
    <sheet xmlns:r="http://schemas.openxmlformats.org/officeDocument/2006/relationships" name="01. 项目基本信息" sheetId="2" state="visible" r:id="rId2"/>
    <sheet xmlns:r="http://schemas.openxmlformats.org/officeDocument/2006/relationships" name="02. 气象参数" sheetId="3" state="visible" r:id="rId3"/>
    <sheet xmlns:r="http://schemas.openxmlformats.org/officeDocument/2006/relationships" name="03. 围护结构参数" sheetId="4" state="visible" r:id="rId4"/>
    <sheet xmlns:r="http://schemas.openxmlformats.org/officeDocument/2006/relationships" name="04. 室内设计参数" sheetId="5" state="visible" r:id="rId5"/>
    <sheet xmlns:r="http://schemas.openxmlformats.org/officeDocument/2006/relationships" name="05. 冷负荷计算" sheetId="6" state="visible" r:id="rId6"/>
    <sheet xmlns:r="http://schemas.openxmlformats.org/officeDocument/2006/relationships" name="06. 热负荷计算" sheetId="7" state="visible" r:id="rId7"/>
    <sheet xmlns:r="http://schemas.openxmlformats.org/officeDocument/2006/relationships" name="07. 冷源系统" sheetId="8" state="visible" r:id="rId8"/>
    <sheet xmlns:r="http://schemas.openxmlformats.org/officeDocument/2006/relationships" name="08. 热源系统" sheetId="9" state="visible" r:id="rId9"/>
    <sheet xmlns:r="http://schemas.openxmlformats.org/officeDocument/2006/relationships" name="09. 输配系统" sheetId="10" state="visible" r:id="rId10"/>
    <sheet xmlns:r="http://schemas.openxmlformats.org/officeDocument/2006/relationships" name="10. 制冷剂排放" sheetId="11" state="visible" r:id="rId11"/>
    <sheet xmlns:r="http://schemas.openxmlformats.org/officeDocument/2006/relationships" name="11. 生活热水" sheetId="12" state="visible" r:id="rId12"/>
    <sheet xmlns:r="http://schemas.openxmlformats.org/officeDocument/2006/relationships" name="12. 室内照明" sheetId="13" state="visible" r:id="rId13"/>
    <sheet xmlns:r="http://schemas.openxmlformats.org/officeDocument/2006/relationships" name="13. 室外照明" sheetId="14" state="visible" r:id="rId14"/>
    <sheet xmlns:r="http://schemas.openxmlformats.org/officeDocument/2006/relationships" name="14. 电梯系统" sheetId="15" state="visible" r:id="rId15"/>
    <sheet xmlns:r="http://schemas.openxmlformats.org/officeDocument/2006/relationships" name="15. 数据中心" sheetId="16" state="visible" r:id="rId16"/>
    <sheet xmlns:r="http://schemas.openxmlformats.org/officeDocument/2006/relationships" name="16. 电动汽车充电桩" sheetId="17" state="visible" r:id="rId17"/>
    <sheet xmlns:r="http://schemas.openxmlformats.org/officeDocument/2006/relationships" name="17. 厨房餐饮系统" sheetId="18" state="visible" r:id="rId18"/>
    <sheet xmlns:r="http://schemas.openxmlformats.org/officeDocument/2006/relationships" name="18. 供水系统" sheetId="19" state="visible" r:id="rId19"/>
    <sheet xmlns:r="http://schemas.openxmlformats.org/officeDocument/2006/relationships" name="19. 通风系统" sheetId="20" state="visible" r:id="rId20"/>
    <sheet xmlns:r="http://schemas.openxmlformats.org/officeDocument/2006/relationships" name="20. 光伏发电" sheetId="21" state="visible" r:id="rId21"/>
    <sheet xmlns:r="http://schemas.openxmlformats.org/officeDocument/2006/relationships" name="21. 太阳能热水" sheetId="22" state="visible" r:id="rId22"/>
    <sheet xmlns:r="http://schemas.openxmlformats.org/officeDocument/2006/relationships" name="22. 地源热泵" sheetId="23" state="visible" r:id="rId23"/>
    <sheet xmlns:r="http://schemas.openxmlformats.org/officeDocument/2006/relationships" name="23. 能源消耗汇总" sheetId="24" state="visible" r:id="rId24"/>
    <sheet xmlns:r="http://schemas.openxmlformats.org/officeDocument/2006/relationships" name="24. 钢筋" sheetId="25" state="visible" r:id="rId25"/>
    <sheet xmlns:r="http://schemas.openxmlformats.org/officeDocument/2006/relationships" name="25. 混凝土" sheetId="26" state="visible" r:id="rId26"/>
    <sheet xmlns:r="http://schemas.openxmlformats.org/officeDocument/2006/relationships" name="26. 围护建材" sheetId="27" state="visible" r:id="rId27"/>
    <sheet xmlns:r="http://schemas.openxmlformats.org/officeDocument/2006/relationships" name="27. 装饰材料" sheetId="28" state="visible" r:id="rId28"/>
    <sheet xmlns:r="http://schemas.openxmlformats.org/officeDocument/2006/relationships" name="28. 安装材料" sheetId="29" state="visible" r:id="rId29"/>
    <sheet xmlns:r="http://schemas.openxmlformats.org/officeDocument/2006/relationships" name="29. 建材运输" sheetId="30" state="visible" r:id="rId30"/>
    <sheet xmlns:r="http://schemas.openxmlformats.org/officeDocument/2006/relationships" name="30. 土方工程" sheetId="31" state="visible" r:id="rId31"/>
    <sheet xmlns:r="http://schemas.openxmlformats.org/officeDocument/2006/relationships" name="31. 结构工程" sheetId="32" state="visible" r:id="rId32"/>
    <sheet xmlns:r="http://schemas.openxmlformats.org/officeDocument/2006/relationships" name="32. 装饰装修" sheetId="33" state="visible" r:id="rId33"/>
    <sheet xmlns:r="http://schemas.openxmlformats.org/officeDocument/2006/relationships" name="33. 机电安装" sheetId="34" state="visible" r:id="rId34"/>
    <sheet xmlns:r="http://schemas.openxmlformats.org/officeDocument/2006/relationships" name="34. 拆除工程" sheetId="35" state="visible" r:id="rId35"/>
    <sheet xmlns:r="http://schemas.openxmlformats.org/officeDocument/2006/relationships" name="35. 水资源与废弃物" sheetId="36" state="visible" r:id="rId36"/>
    <sheet xmlns:r="http://schemas.openxmlformats.org/officeDocument/2006/relationships" name="36. 绿地碳汇" sheetId="37" state="visible" r:id="rId37"/>
    <sheet xmlns:r="http://schemas.openxmlformats.org/officeDocument/2006/relationships" name="37. 隐含碳排放" sheetId="38" state="visible" r:id="rId38"/>
    <sheet xmlns:r="http://schemas.openxmlformats.org/officeDocument/2006/relationships" name="38. 碳排放汇总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sz val="20"/>
    </font>
    <font>
      <name val="微软雅黑"/>
      <sz val="14"/>
    </font>
    <font>
      <name val="微软雅黑"/>
      <sz val="12"/>
    </font>
    <font>
      <name val="微软雅黑"/>
      <b val="1"/>
      <sz val="13"/>
    </font>
    <font>
      <name val="微软雅黑"/>
      <b val="1"/>
      <sz val="16"/>
    </font>
    <font>
      <name val="微软雅黑"/>
      <sz val="11"/>
    </font>
    <font>
      <name val="微软雅黑"/>
      <b val="1"/>
      <color rgb="001F4E79"/>
      <sz val="14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i val="1"/>
      <color rgb="000066CC"/>
      <sz val="10"/>
    </font>
    <font>
      <name val="微软雅黑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F44336"/>
        <bgColor rgb="00F44336"/>
      </patternFill>
    </fill>
    <fill>
      <patternFill patternType="solid">
        <fgColor rgb="0000BCD4"/>
        <bgColor rgb="0000BCD4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795548"/>
        <bgColor rgb="00795548"/>
      </patternFill>
    </fill>
    <fill>
      <patternFill patternType="solid">
        <fgColor rgb="00607D8B"/>
        <bgColor rgb="00607D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10" borderId="1" pivotButton="0" quotePrefix="0" xfId="0"/>
    <xf numFmtId="0" fontId="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2" fillId="3" borderId="1" pivotButton="0" quotePrefix="0" xfId="0"/>
    <xf numFmtId="0" fontId="8" fillId="2" borderId="0" pivotButton="0" quotePrefix="0" xfId="0"/>
    <xf numFmtId="0" fontId="10" fillId="0" borderId="1" applyAlignment="1" pivotButton="0" quotePrefix="0" xfId="0">
      <alignment horizontal="left" vertical="center" wrapText="1"/>
    </xf>
    <xf numFmtId="4" fontId="10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9" fillId="10" borderId="0" pivotButton="0" quotePrefix="0" xfId="0"/>
    <xf numFmtId="0" fontId="9" fillId="10" borderId="1" applyAlignment="1" pivotButton="0" quotePrefix="0" xfId="0">
      <alignment horizontal="left" vertical="center" wrapText="1"/>
    </xf>
    <xf numFmtId="0" fontId="9" fillId="3" borderId="1" pivotButton="0" quotePrefix="0" xfId="0"/>
    <xf numFmtId="0" fontId="1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公共建筑碳排放计算系统 V3.0</t>
        </is>
      </c>
    </row>
    <row r="2">
      <c r="A2" s="2" t="inlineStr">
        <is>
          <t>精细化计算单元版（35个独立工作表）</t>
        </is>
      </c>
    </row>
    <row r="3">
      <c r="A3" s="3" t="inlineStr"/>
    </row>
    <row r="4">
      <c r="A4" s="4" t="inlineStr">
        <is>
          <t>基于 GB/T 51366-2019《建筑碳排放计算标准》</t>
        </is>
      </c>
    </row>
    <row r="5">
      <c r="A5" s="4" t="inlineStr">
        <is>
          <t>基于 JS/T 303-2026《公共机构碳排放核算指南》</t>
        </is>
      </c>
    </row>
    <row r="6">
      <c r="A6" s="5" t="inlineStr"/>
    </row>
    <row r="7">
      <c r="A7" s="6" t="inlineStr">
        <is>
          <t>设计理念</t>
        </is>
      </c>
    </row>
    <row r="8">
      <c r="A8" s="7" t="inlineStr">
        <is>
          <t>单一职责：每个工作表只计算一个具体内容</t>
        </is>
      </c>
    </row>
    <row r="9">
      <c r="A9" s="7" t="inlineStr">
        <is>
          <t>独立完整：每个工作表都是自包含的</t>
        </is>
      </c>
    </row>
    <row r="10">
      <c r="A10" s="7" t="inlineStr">
        <is>
          <t>易于扩展：新增计算单元只需添加独立工作表</t>
        </is>
      </c>
    </row>
    <row r="11">
      <c r="A11" s="7" t="inlineStr">
        <is>
          <t>易于维护：修改某个计算不影响其他计算单元</t>
        </is>
      </c>
    </row>
  </sheetData>
  <mergeCells count="11">
    <mergeCell ref="A9:H9"/>
    <mergeCell ref="A4:H4"/>
    <mergeCell ref="A1:H1"/>
    <mergeCell ref="A3:H3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项目基本信息</t>
        </is>
      </c>
    </row>
    <row r="3">
      <c r="A3" s="9" t="inlineStr">
        <is>
          <t>基础信息</t>
        </is>
      </c>
    </row>
    <row r="4">
      <c r="A4" s="10" t="inlineStr">
        <is>
          <t>项目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项目名称</t>
        </is>
      </c>
      <c r="B5" s="12" t="inlineStr">
        <is>
          <t>XX市公共服务中心</t>
        </is>
      </c>
      <c r="C5" s="13" t="inlineStr">
        <is>
          <t>-</t>
        </is>
      </c>
      <c r="D5" s="14" t="inlineStr">
        <is>
          <t>项目文件</t>
        </is>
      </c>
      <c r="E5" s="14" t="inlineStr">
        <is>
          <t>填写完整项目名称</t>
        </is>
      </c>
    </row>
    <row r="6">
      <c r="A6" s="11" t="inlineStr">
        <is>
          <t>建筑地址</t>
        </is>
      </c>
      <c r="B6" s="12" t="inlineStr">
        <is>
          <t>XX市高新区科技大道888号</t>
        </is>
      </c>
      <c r="C6" s="13" t="inlineStr">
        <is>
          <t>-</t>
        </is>
      </c>
      <c r="D6" s="14" t="inlineStr">
        <is>
          <t>规划许可证</t>
        </is>
      </c>
      <c r="E6" s="14" t="inlineStr">
        <is>
          <t>详细到街道门牌号</t>
        </is>
      </c>
    </row>
    <row r="7">
      <c r="A7" s="11" t="inlineStr">
        <is>
          <t>建筑类型</t>
        </is>
      </c>
      <c r="B7" s="12" t="inlineStr">
        <is>
          <t>公共建筑（综合体）</t>
        </is>
      </c>
      <c r="C7" s="13" t="inlineStr">
        <is>
          <t>-</t>
        </is>
      </c>
      <c r="D7" s="14" t="inlineStr">
        <is>
          <t>设计文件</t>
        </is>
      </c>
      <c r="E7" s="14" t="inlineStr">
        <is>
          <t>办公/商业/医院等</t>
        </is>
      </c>
    </row>
    <row r="8">
      <c r="A8" s="11" t="inlineStr">
        <is>
          <t>建筑面积(A)</t>
        </is>
      </c>
      <c r="B8" s="12" t="inlineStr">
        <is>
          <t>办公/服务/配套</t>
        </is>
      </c>
      <c r="C8" s="13" t="inlineStr">
        <is>
          <t>m²</t>
        </is>
      </c>
      <c r="D8" s="14" t="inlineStr">
        <is>
          <t>房产证</t>
        </is>
      </c>
      <c r="E8" s="14" t="inlineStr">
        <is>
          <t>地上+地下总面积</t>
        </is>
      </c>
    </row>
    <row r="9">
      <c r="A9" s="11" t="inlineStr">
        <is>
          <t>地上建筑面积</t>
        </is>
      </c>
      <c r="B9" s="12" t="n">
        <v>35000</v>
      </c>
      <c r="C9" s="13" t="inlineStr">
        <is>
          <t>m²</t>
        </is>
      </c>
      <c r="D9" s="14" t="inlineStr">
        <is>
          <t>设计图纸</t>
        </is>
      </c>
      <c r="E9" s="14" t="inlineStr"/>
    </row>
    <row r="10">
      <c r="A10" s="11" t="inlineStr">
        <is>
          <t>地下建筑面积</t>
        </is>
      </c>
      <c r="B10" s="12" t="n">
        <v>28000</v>
      </c>
      <c r="C10" s="13" t="inlineStr">
        <is>
          <t>m²</t>
        </is>
      </c>
      <c r="D10" s="14" t="inlineStr">
        <is>
          <t>设计图纸</t>
        </is>
      </c>
      <c r="E10" s="14" t="inlineStr"/>
    </row>
    <row r="11">
      <c r="A11" s="11" t="inlineStr">
        <is>
          <t>建筑高度</t>
        </is>
      </c>
      <c r="B11" s="12" t="n">
        <v>7000</v>
      </c>
      <c r="C11" s="13" t="inlineStr">
        <is>
          <t>m</t>
        </is>
      </c>
      <c r="D11" s="14" t="inlineStr">
        <is>
          <t>设计文件</t>
        </is>
      </c>
      <c r="E11" s="14" t="inlineStr"/>
    </row>
    <row r="12">
      <c r="A12" s="11" t="inlineStr">
        <is>
          <t>设计使用寿命</t>
        </is>
      </c>
      <c r="B12" s="12" t="n">
        <v>12</v>
      </c>
      <c r="C12" s="13" t="inlineStr">
        <is>
          <t>年</t>
        </is>
      </c>
      <c r="D12" s="14" t="inlineStr">
        <is>
          <t>设计文件</t>
        </is>
      </c>
      <c r="E12" s="14" t="inlineStr">
        <is>
          <t>GB/T 51366规定</t>
        </is>
      </c>
    </row>
    <row r="13">
      <c r="B13" t="n">
        <v>2</v>
      </c>
    </row>
    <row r="14">
      <c r="A14" s="15" t="inlineStr">
        <is>
          <t>运行参数</t>
        </is>
      </c>
    </row>
    <row r="15">
      <c r="A15" s="10" t="inlineStr">
        <is>
          <t>项目</t>
        </is>
      </c>
      <c r="B15" s="10" t="inlineStr">
        <is>
          <t>数值</t>
        </is>
      </c>
      <c r="C15" s="10" t="inlineStr">
        <is>
          <t>单位</t>
        </is>
      </c>
      <c r="D15" s="10" t="inlineStr">
        <is>
          <t>数据来源</t>
        </is>
      </c>
      <c r="E15" s="10" t="inlineStr">
        <is>
          <t>说明</t>
        </is>
      </c>
    </row>
    <row r="16">
      <c r="A16" s="11" t="inlineStr">
        <is>
          <t>使用人数</t>
        </is>
      </c>
      <c r="B16" s="12" t="inlineStr">
        <is>
          <t>2020</t>
        </is>
      </c>
      <c r="C16" s="13" t="inlineStr">
        <is>
          <t>人</t>
        </is>
      </c>
      <c r="D16" s="14" t="inlineStr">
        <is>
          <t>物业记录</t>
        </is>
      </c>
      <c r="E16" s="14" t="inlineStr">
        <is>
          <t>日均使用人数</t>
        </is>
      </c>
    </row>
    <row r="17">
      <c r="A17" s="11" t="inlineStr">
        <is>
          <t>年运行天数</t>
        </is>
      </c>
      <c r="B17" s="12" t="n">
        <v>2025</v>
      </c>
      <c r="C17" s="13" t="inlineStr">
        <is>
          <t>天</t>
        </is>
      </c>
      <c r="D17" s="14" t="inlineStr">
        <is>
          <t>实际运行</t>
        </is>
      </c>
      <c r="E17" s="14" t="inlineStr"/>
    </row>
    <row r="18">
      <c r="A18" s="11" t="inlineStr">
        <is>
          <t>日运行时间</t>
        </is>
      </c>
      <c r="B18" s="12" t="n">
        <v>1800</v>
      </c>
      <c r="C18" s="13" t="inlineStr">
        <is>
          <t>小时</t>
        </is>
      </c>
      <c r="D18" s="14" t="inlineStr">
        <is>
          <t>实际运行</t>
        </is>
      </c>
      <c r="E18" s="14" t="inlineStr"/>
    </row>
    <row r="19">
      <c r="A19" s="11" t="inlineStr">
        <is>
          <t>入住率</t>
        </is>
      </c>
      <c r="B19" s="12" t="n">
        <v>365</v>
      </c>
      <c r="C19" s="13" t="inlineStr">
        <is>
          <t>%</t>
        </is>
      </c>
      <c r="D19" s="14" t="inlineStr">
        <is>
          <t>物业记录</t>
        </is>
      </c>
      <c r="E19" s="14" t="inlineStr"/>
    </row>
    <row r="20">
      <c r="A20" s="11" t="inlineStr">
        <is>
          <t>绿地面积</t>
        </is>
      </c>
      <c r="B20" s="12" t="n">
        <v>12</v>
      </c>
      <c r="C20" s="13" t="inlineStr">
        <is>
          <t>m²</t>
        </is>
      </c>
      <c r="D20" s="14" t="inlineStr">
        <is>
          <t>规划许可证</t>
        </is>
      </c>
      <c r="E20" s="14" t="inlineStr">
        <is>
          <t>用于碳汇计算</t>
        </is>
      </c>
    </row>
    <row r="21">
      <c r="A21" s="11" t="inlineStr">
        <is>
          <t>光伏装机容量</t>
        </is>
      </c>
      <c r="B21" s="12" t="n">
        <v>85</v>
      </c>
      <c r="C21" s="13" t="inlineStr">
        <is>
          <t>kWp</t>
        </is>
      </c>
      <c r="D21" s="14" t="inlineStr">
        <is>
          <t>设计文件</t>
        </is>
      </c>
      <c r="E21" s="14" t="inlineStr">
        <is>
          <t>如有光伏</t>
        </is>
      </c>
    </row>
    <row r="22">
      <c r="A22" s="11" t="inlineStr">
        <is>
          <t>地源热泵容量</t>
        </is>
      </c>
      <c r="B22" s="12" t="n">
        <v>150</v>
      </c>
      <c r="C22" s="13" t="inlineStr">
        <is>
          <t>kW</t>
        </is>
      </c>
      <c r="D22" s="14" t="inlineStr">
        <is>
          <t>设计文件</t>
        </is>
      </c>
      <c r="E22" s="14" t="inlineStr">
        <is>
          <t>如有地源热泵</t>
        </is>
      </c>
    </row>
    <row r="23">
      <c r="B23" t="n">
        <v>8500</v>
      </c>
    </row>
    <row r="24">
      <c r="B24" t="n">
        <v>24.3</v>
      </c>
    </row>
    <row r="25">
      <c r="B25" t="n">
        <v>2000</v>
      </c>
    </row>
    <row r="26">
      <c r="B26" t="n">
        <v>500</v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气象参数</t>
        </is>
      </c>
    </row>
    <row r="3">
      <c r="A3" s="16" t="inlineStr">
        <is>
          <t>气象数据</t>
        </is>
      </c>
    </row>
    <row r="4">
      <c r="A4" s="10" t="inlineStr">
        <is>
          <t>参数</t>
        </is>
      </c>
      <c r="B4" s="10" t="n">
        <v>1380</v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年太阳辐射照度</t>
        </is>
      </c>
      <c r="B5" s="12" t="n">
        <v>-8</v>
      </c>
      <c r="C5" s="13" t="inlineStr">
        <is>
          <t>kWh/m²</t>
        </is>
      </c>
      <c r="D5" s="14" t="inlineStr">
        <is>
          <t>气象局</t>
        </is>
      </c>
      <c r="E5" s="14" t="inlineStr">
        <is>
          <t>北京地区</t>
        </is>
      </c>
    </row>
    <row r="6">
      <c r="A6" s="11" t="inlineStr">
        <is>
          <t>采暖室外计算温度</t>
        </is>
      </c>
      <c r="B6" s="12" t="n">
        <v>34</v>
      </c>
      <c r="C6" s="13" t="inlineStr">
        <is>
          <t>°C</t>
        </is>
      </c>
      <c r="D6" s="14" t="inlineStr">
        <is>
          <t>设计规范</t>
        </is>
      </c>
      <c r="E6" s="14" t="inlineStr"/>
    </row>
    <row r="7">
      <c r="A7" s="11" t="inlineStr">
        <is>
          <t>空调室外计算干球温度</t>
        </is>
      </c>
      <c r="B7" s="12" t="n">
        <v>2.3</v>
      </c>
      <c r="C7" s="13" t="inlineStr">
        <is>
          <t>°C</t>
        </is>
      </c>
      <c r="D7" s="14" t="inlineStr">
        <is>
          <t>设计规范</t>
        </is>
      </c>
      <c r="E7" s="14" t="inlineStr"/>
    </row>
    <row r="8">
      <c r="A8" s="11" t="inlineStr">
        <is>
          <t>冬季室外平均风速</t>
        </is>
      </c>
      <c r="B8" s="12" t="n">
        <v>1800</v>
      </c>
      <c r="C8" s="13" t="inlineStr">
        <is>
          <t>m/s</t>
        </is>
      </c>
      <c r="D8" s="14" t="inlineStr">
        <is>
          <t>气象局</t>
        </is>
      </c>
      <c r="E8" s="14" t="inlineStr"/>
    </row>
    <row r="9">
      <c r="A9" s="11" t="inlineStr">
        <is>
          <t>年生活热水使用小时数</t>
        </is>
      </c>
      <c r="B9" s="12" t="n">
        <v>8</v>
      </c>
      <c r="C9" s="13" t="inlineStr">
        <is>
          <t>h</t>
        </is>
      </c>
      <c r="D9" s="14" t="inlineStr">
        <is>
          <t>实际运行</t>
        </is>
      </c>
      <c r="E9" s="14" t="inlineStr"/>
    </row>
    <row r="10">
      <c r="A10" s="11" t="inlineStr">
        <is>
          <t>设计冷水温度</t>
        </is>
      </c>
      <c r="B10" s="12" t="n">
        <v>10</v>
      </c>
      <c r="C10" s="13" t="inlineStr">
        <is>
          <t>°C</t>
        </is>
      </c>
      <c r="D10" s="14" t="inlineStr">
        <is>
          <t>当地水源</t>
        </is>
      </c>
      <c r="E10" s="14" t="inlineStr"/>
    </row>
    <row r="11">
      <c r="A11" s="11" t="inlineStr">
        <is>
          <t>设计热水温度</t>
        </is>
      </c>
      <c r="B11" s="12" t="n">
        <v>60</v>
      </c>
      <c r="C11" s="13" t="inlineStr">
        <is>
          <t>°C</t>
        </is>
      </c>
      <c r="D11" s="14" t="inlineStr">
        <is>
          <t>设计要求</t>
        </is>
      </c>
      <c r="E11" s="14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9554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建筑围护结构热工参数</t>
        </is>
      </c>
    </row>
    <row r="3">
      <c r="A3" s="17" t="inlineStr">
        <is>
          <t>围护结构</t>
        </is>
      </c>
    </row>
    <row r="4">
      <c r="A4" s="10" t="inlineStr">
        <is>
          <t>部位</t>
        </is>
      </c>
      <c r="B4" s="10" t="inlineStr">
        <is>
          <t>传热系数</t>
        </is>
      </c>
      <c r="C4" s="10" t="inlineStr">
        <is>
          <t>单位</t>
        </is>
      </c>
      <c r="D4" s="10" t="inlineStr">
        <is>
          <t>设计要求</t>
        </is>
      </c>
      <c r="E4" s="10" t="inlineStr">
        <is>
          <t>实际值</t>
        </is>
      </c>
    </row>
    <row r="5">
      <c r="A5" s="11" t="inlineStr">
        <is>
          <t>外墙</t>
        </is>
      </c>
      <c r="B5" s="12" t="n">
        <v>0.5</v>
      </c>
      <c r="C5" s="13" t="inlineStr">
        <is>
          <t>W/(m²·K)</t>
        </is>
      </c>
      <c r="D5" s="14" t="n">
        <v>0.6</v>
      </c>
      <c r="E5" s="14" t="inlineStr"/>
    </row>
    <row r="6">
      <c r="A6" s="11" t="inlineStr">
        <is>
          <t>屋面</t>
        </is>
      </c>
      <c r="B6" s="12" t="n">
        <v>0.4</v>
      </c>
      <c r="C6" s="13" t="inlineStr">
        <is>
          <t>W/(m²·K)</t>
        </is>
      </c>
      <c r="D6" s="14" t="n">
        <v>0.5</v>
      </c>
      <c r="E6" s="14" t="inlineStr"/>
    </row>
    <row r="7">
      <c r="A7" s="11" t="inlineStr">
        <is>
          <t>外窗</t>
        </is>
      </c>
      <c r="B7" s="12" t="n">
        <v>2</v>
      </c>
      <c r="C7" s="13" t="inlineStr">
        <is>
          <t>W/(m²·K)</t>
        </is>
      </c>
      <c r="D7" s="14" t="n">
        <v>2.5</v>
      </c>
      <c r="E7" s="14" t="inlineStr">
        <is>
          <t>Low-E中空</t>
        </is>
      </c>
    </row>
    <row r="8">
      <c r="A8" s="11" t="inlineStr">
        <is>
          <t>地面</t>
        </is>
      </c>
      <c r="B8" s="12" t="n">
        <v>0.5</v>
      </c>
      <c r="C8" s="13" t="inlineStr">
        <is>
          <t>W/(m²·K)</t>
        </is>
      </c>
      <c r="D8" s="14" t="n">
        <v>0.6</v>
      </c>
      <c r="E8" s="14" t="inlineStr"/>
    </row>
    <row r="9">
      <c r="A9" s="11" t="inlineStr">
        <is>
          <t>幕墙</t>
        </is>
      </c>
      <c r="B9" s="12" t="n">
        <v>1.8</v>
      </c>
      <c r="C9" s="13" t="inlineStr">
        <is>
          <t>W/(m²·K)</t>
        </is>
      </c>
      <c r="D9" s="14" t="n">
        <v>2</v>
      </c>
      <c r="E9" s="14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07D8B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室内设计参数</t>
        </is>
      </c>
    </row>
    <row r="3">
      <c r="A3" s="18" t="inlineStr">
        <is>
          <t>设计参数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标准依据</t>
        </is>
      </c>
      <c r="E4" s="10" t="inlineStr">
        <is>
          <t>说明</t>
        </is>
      </c>
    </row>
    <row r="5">
      <c r="A5" s="11" t="inlineStr">
        <is>
          <t>夏季室内设计温度</t>
        </is>
      </c>
      <c r="B5" s="12" t="n">
        <v>26</v>
      </c>
      <c r="C5" s="13" t="inlineStr">
        <is>
          <t>°C</t>
        </is>
      </c>
      <c r="D5" s="14" t="inlineStr">
        <is>
          <t>GB 50189</t>
        </is>
      </c>
      <c r="E5" s="14" t="inlineStr"/>
    </row>
    <row r="6">
      <c r="A6" s="11" t="inlineStr">
        <is>
          <t>冬季室内设计温度</t>
        </is>
      </c>
      <c r="B6" s="12" t="n">
        <v>20</v>
      </c>
      <c r="C6" s="13" t="inlineStr">
        <is>
          <t>°C</t>
        </is>
      </c>
      <c r="D6" s="14" t="inlineStr">
        <is>
          <t>GB 50189</t>
        </is>
      </c>
      <c r="E6" s="14" t="inlineStr"/>
    </row>
    <row r="7">
      <c r="A7" s="11" t="inlineStr">
        <is>
          <t>夏季室内相对湿度</t>
        </is>
      </c>
      <c r="B7" s="12" t="n">
        <v>65</v>
      </c>
      <c r="C7" s="13" t="inlineStr">
        <is>
          <t>%</t>
        </is>
      </c>
      <c r="D7" s="14" t="inlineStr">
        <is>
          <t>GB 50189</t>
        </is>
      </c>
      <c r="E7" s="14" t="inlineStr"/>
    </row>
    <row r="8">
      <c r="A8" s="11" t="inlineStr">
        <is>
          <t>冬季室内相对湿度</t>
        </is>
      </c>
      <c r="B8" s="12" t="n">
        <v>50</v>
      </c>
      <c r="C8" s="13" t="inlineStr">
        <is>
          <t>%</t>
        </is>
      </c>
      <c r="D8" s="14" t="inlineStr">
        <is>
          <t>GB 50189</t>
        </is>
      </c>
      <c r="E8" s="14" t="inlineStr"/>
    </row>
    <row r="9">
      <c r="A9" s="11" t="inlineStr">
        <is>
          <t>人均新风量</t>
        </is>
      </c>
      <c r="B9" s="12" t="n">
        <v>30</v>
      </c>
      <c r="C9" s="13" t="inlineStr">
        <is>
          <t>m³/(h·人)</t>
        </is>
      </c>
      <c r="D9" s="14" t="inlineStr">
        <is>
          <t>GB 50189</t>
        </is>
      </c>
      <c r="E9" s="14" t="inlineStr">
        <is>
          <t>办公建筑</t>
        </is>
      </c>
    </row>
    <row r="10">
      <c r="A10" s="11" t="inlineStr">
        <is>
          <t>办公室照明标准</t>
        </is>
      </c>
      <c r="B10" s="12" t="n">
        <v>500</v>
      </c>
      <c r="C10" s="13" t="inlineStr">
        <is>
          <t>lux</t>
        </is>
      </c>
      <c r="D10" s="14" t="inlineStr">
        <is>
          <t>GB 50034</t>
        </is>
      </c>
      <c r="E10" s="14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冷负荷计算</t>
        </is>
      </c>
    </row>
    <row r="3">
      <c r="A3" s="19" t="inlineStr">
        <is>
          <t>冷负荷参数</t>
        </is>
      </c>
    </row>
    <row r="4">
      <c r="A4" s="10" t="inlineStr">
        <is>
          <t>参数</t>
        </is>
      </c>
      <c r="B4" s="10" t="n">
        <v>35000</v>
      </c>
      <c r="C4" s="10" t="inlineStr">
        <is>
          <t>单位</t>
        </is>
      </c>
      <c r="D4" s="10" t="inlineStr">
        <is>
          <t>计算公式</t>
        </is>
      </c>
      <c r="E4" s="10" t="inlineStr">
        <is>
          <t>说明</t>
        </is>
      </c>
    </row>
    <row r="5">
      <c r="A5" s="11" t="inlineStr">
        <is>
          <t>建筑面积</t>
        </is>
      </c>
      <c r="B5" s="12" t="n">
        <v>95</v>
      </c>
      <c r="C5" s="13" t="inlineStr">
        <is>
          <t>m²</t>
        </is>
      </c>
      <c r="D5" s="14" t="inlineStr">
        <is>
          <t>来自01表</t>
        </is>
      </c>
      <c r="E5" s="14" t="inlineStr"/>
    </row>
    <row r="6">
      <c r="A6" s="11" t="inlineStr">
        <is>
          <t>冷负荷指标</t>
        </is>
      </c>
      <c r="B6" s="12" t="n">
        <v>1800</v>
      </c>
      <c r="C6" s="13" t="inlineStr">
        <is>
          <t>W/m²</t>
        </is>
      </c>
      <c r="D6" s="14" t="inlineStr">
        <is>
          <t>设计文件</t>
        </is>
      </c>
      <c r="E6" s="14" t="inlineStr">
        <is>
          <t>通常80-120</t>
        </is>
      </c>
    </row>
    <row r="7">
      <c r="A7" s="11" t="inlineStr">
        <is>
          <t>年供冷小时数</t>
        </is>
      </c>
      <c r="B7" s="12" t="n">
        <v>1800</v>
      </c>
      <c r="C7" s="13" t="inlineStr">
        <is>
          <t>h</t>
        </is>
      </c>
      <c r="D7" s="14" t="inlineStr">
        <is>
          <t>实际运行</t>
        </is>
      </c>
      <c r="E7" s="14" t="inlineStr"/>
    </row>
    <row r="8">
      <c r="A8" s="11" t="inlineStr">
        <is>
          <t>同时使用系数</t>
        </is>
      </c>
      <c r="B8" s="12" t="n">
        <v>0.8</v>
      </c>
      <c r="C8" s="13" t="inlineStr">
        <is>
          <t>-</t>
        </is>
      </c>
      <c r="D8" s="14" t="inlineStr">
        <is>
          <t>经验值</t>
        </is>
      </c>
      <c r="E8" s="14" t="inlineStr"/>
    </row>
    <row r="10">
      <c r="A10" s="20" t="inlineStr">
        <is>
          <t>年冷负荷</t>
        </is>
      </c>
      <c r="B10" s="21" t="inlineStr">
        <is>
          <t>kWh</t>
        </is>
      </c>
      <c r="C10" s="22">
        <f>B3*B4*B5/1000</f>
        <v/>
      </c>
      <c r="D10" s="23">
        <f>建筑面积×冷负荷指标×小时数×系数/1000</f>
        <v/>
      </c>
    </row>
    <row r="11">
      <c r="A11" s="20" t="inlineStr">
        <is>
          <t>冷负荷峰值</t>
        </is>
      </c>
      <c r="B11" s="21" t="inlineStr">
        <is>
          <t>kW</t>
        </is>
      </c>
      <c r="C11" s="22">
        <f>B3*B4/1000</f>
        <v/>
      </c>
      <c r="D11" s="23">
        <f>建筑面积×冷负荷指标/1000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热负荷计算</t>
        </is>
      </c>
    </row>
    <row r="3">
      <c r="A3" s="24" t="inlineStr">
        <is>
          <t>热负荷参数</t>
        </is>
      </c>
    </row>
    <row r="4">
      <c r="A4" s="10" t="inlineStr">
        <is>
          <t>参数</t>
        </is>
      </c>
      <c r="B4" s="10" t="n">
        <v>35000</v>
      </c>
      <c r="C4" s="10" t="inlineStr">
        <is>
          <t>单位</t>
        </is>
      </c>
      <c r="D4" s="10" t="inlineStr">
        <is>
          <t>计算公式</t>
        </is>
      </c>
      <c r="E4" s="10" t="inlineStr">
        <is>
          <t>说明</t>
        </is>
      </c>
    </row>
    <row r="5">
      <c r="A5" s="11" t="inlineStr">
        <is>
          <t>建筑面积</t>
        </is>
      </c>
      <c r="B5" s="12" t="n">
        <v>65</v>
      </c>
      <c r="C5" s="13" t="inlineStr">
        <is>
          <t>m²</t>
        </is>
      </c>
      <c r="D5" s="14" t="inlineStr">
        <is>
          <t>来自01表</t>
        </is>
      </c>
      <c r="E5" s="14" t="inlineStr"/>
    </row>
    <row r="6">
      <c r="A6" s="11" t="inlineStr">
        <is>
          <t>热负荷指标</t>
        </is>
      </c>
      <c r="B6" s="12" t="n">
        <v>2880</v>
      </c>
      <c r="C6" s="13" t="inlineStr">
        <is>
          <t>W/m²</t>
        </is>
      </c>
      <c r="D6" s="14" t="inlineStr">
        <is>
          <t>设计文件</t>
        </is>
      </c>
      <c r="E6" s="14" t="inlineStr">
        <is>
          <t>通常50-80</t>
        </is>
      </c>
    </row>
    <row r="7">
      <c r="A7" s="11" t="inlineStr">
        <is>
          <t>年供暖小时数</t>
        </is>
      </c>
      <c r="B7" s="12" t="n">
        <v>2880</v>
      </c>
      <c r="C7" s="13" t="inlineStr">
        <is>
          <t>h</t>
        </is>
      </c>
      <c r="D7" s="14" t="inlineStr">
        <is>
          <t>实际运行</t>
        </is>
      </c>
      <c r="E7" s="14" t="inlineStr">
        <is>
          <t>120天</t>
        </is>
      </c>
    </row>
    <row r="8">
      <c r="A8" s="11" t="inlineStr">
        <is>
          <t>同时使用系数</t>
        </is>
      </c>
      <c r="B8" s="12" t="n">
        <v>0.75</v>
      </c>
      <c r="C8" s="13" t="inlineStr">
        <is>
          <t>-</t>
        </is>
      </c>
      <c r="D8" s="14" t="inlineStr">
        <is>
          <t>经验值</t>
        </is>
      </c>
      <c r="E8" s="14" t="inlineStr"/>
    </row>
    <row r="10">
      <c r="A10" s="20" t="inlineStr">
        <is>
          <t>年热负荷</t>
        </is>
      </c>
      <c r="B10" s="21" t="inlineStr">
        <is>
          <t>kWh</t>
        </is>
      </c>
      <c r="C10" s="22">
        <f>B3*B4*B5/1000</f>
        <v/>
      </c>
      <c r="D10" s="23">
        <f>建筑面积×热负荷指标×小时数×系数/1000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27B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冷源系统能耗计算</t>
        </is>
      </c>
    </row>
    <row r="3">
      <c r="A3" s="25" t="inlineStr">
        <is>
          <t>冷源参数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年冷负荷</t>
        </is>
      </c>
      <c r="B5" s="12" t="n">
        <v>4.2</v>
      </c>
      <c r="C5" s="13" t="inlineStr">
        <is>
          <t>kWh</t>
        </is>
      </c>
      <c r="D5" s="14" t="inlineStr">
        <is>
          <t>来自05表</t>
        </is>
      </c>
      <c r="E5" s="14" t="inlineStr"/>
    </row>
    <row r="6">
      <c r="A6" s="11" t="inlineStr">
        <is>
          <t>冷源类型</t>
        </is>
      </c>
      <c r="B6" s="12" t="n">
        <v>85</v>
      </c>
      <c r="C6" s="13" t="inlineStr">
        <is>
          <t>-</t>
        </is>
      </c>
      <c r="D6" s="14" t="inlineStr">
        <is>
          <t>设计文件</t>
        </is>
      </c>
      <c r="E6" s="14" t="inlineStr">
        <is>
          <t>螺杆机/离心机</t>
        </is>
      </c>
    </row>
    <row r="7">
      <c r="A7" s="11" t="inlineStr">
        <is>
          <t>能效比(COP)</t>
        </is>
      </c>
      <c r="B7" s="12" t="n">
        <v>65</v>
      </c>
      <c r="C7" s="13" t="inlineStr">
        <is>
          <t>-</t>
        </is>
      </c>
      <c r="D7" s="14" t="inlineStr">
        <is>
          <t>设备铭牌</t>
        </is>
      </c>
      <c r="E7" s="14" t="inlineStr">
        <is>
          <t>通常3.5-6.0</t>
        </is>
      </c>
    </row>
    <row r="8">
      <c r="A8" s="11" t="inlineStr">
        <is>
          <t>冷冻水泵功率</t>
        </is>
      </c>
      <c r="B8" s="12" t="n">
        <v>45</v>
      </c>
      <c r="C8" s="13" t="inlineStr">
        <is>
          <t>kW</t>
        </is>
      </c>
      <c r="D8" s="14" t="inlineStr">
        <is>
          <t>设备铭牌</t>
        </is>
      </c>
      <c r="E8" s="14" t="inlineStr"/>
    </row>
    <row r="9">
      <c r="A9" s="11" t="inlineStr">
        <is>
          <t>冷却水泵功率</t>
        </is>
      </c>
      <c r="B9" s="12" t="inlineStr"/>
      <c r="C9" s="13" t="inlineStr">
        <is>
          <t>kW</t>
        </is>
      </c>
      <c r="D9" s="14" t="inlineStr">
        <is>
          <t>设备铭牌</t>
        </is>
      </c>
      <c r="E9" s="14" t="inlineStr"/>
    </row>
    <row r="10">
      <c r="A10" s="11" t="inlineStr">
        <is>
          <t>冷却塔功率</t>
        </is>
      </c>
      <c r="B10" s="12" t="inlineStr"/>
      <c r="C10" s="13" t="inlineStr">
        <is>
          <t>kW</t>
        </is>
      </c>
      <c r="D10" s="14" t="inlineStr">
        <is>
          <t>设备铭牌</t>
        </is>
      </c>
      <c r="E10" s="14" t="inlineStr"/>
    </row>
    <row r="12">
      <c r="A12" s="20" t="inlineStr">
        <is>
          <t>冷源耗电量</t>
        </is>
      </c>
      <c r="B12" s="21" t="inlineStr">
        <is>
          <t>kWh</t>
        </is>
      </c>
      <c r="C12" s="22">
        <f>B3/B5</f>
        <v/>
      </c>
      <c r="D12" s="23">
        <f>冷负荷/COP</f>
        <v/>
      </c>
    </row>
    <row r="13">
      <c r="A13" s="20" t="inlineStr">
        <is>
          <t>输配系统耗电量</t>
        </is>
      </c>
      <c r="B13" s="21" t="inlineStr">
        <is>
          <t>kWh</t>
        </is>
      </c>
      <c r="C13" s="22">
        <f>(B6+B7+B8)*B5*24</f>
        <v/>
      </c>
      <c r="D13" s="23">
        <f>水泵和冷却塔功率×运行时间</f>
        <v/>
      </c>
    </row>
    <row r="14">
      <c r="A14" s="20" t="inlineStr">
        <is>
          <t>冷源系统总能耗</t>
        </is>
      </c>
      <c r="B14" s="21" t="inlineStr">
        <is>
          <t>kWh</t>
        </is>
      </c>
      <c r="C14" s="26">
        <f>B10+B11</f>
        <v/>
      </c>
      <c r="D14" s="27">
        <f>冷源+输配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4433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热源系统能耗计算</t>
        </is>
      </c>
    </row>
    <row r="3">
      <c r="A3" s="9" t="inlineStr">
        <is>
          <t>热源参数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年热负荷</t>
        </is>
      </c>
      <c r="B5" s="12" t="n">
        <v>0.92</v>
      </c>
      <c r="C5" s="13" t="inlineStr">
        <is>
          <t>kWh</t>
        </is>
      </c>
      <c r="D5" s="14" t="inlineStr">
        <is>
          <t>来自06表</t>
        </is>
      </c>
      <c r="E5" s="14" t="inlineStr"/>
    </row>
    <row r="6">
      <c r="A6" s="11" t="inlineStr">
        <is>
          <t>热源类型</t>
        </is>
      </c>
      <c r="B6" s="12" t="n">
        <v>120</v>
      </c>
      <c r="C6" s="13" t="inlineStr">
        <is>
          <t>-</t>
        </is>
      </c>
      <c r="D6" s="14" t="inlineStr">
        <is>
          <t>设计文件</t>
        </is>
      </c>
      <c r="E6" s="14" t="inlineStr">
        <is>
          <t>燃气锅炉/热泵</t>
        </is>
      </c>
    </row>
    <row r="7">
      <c r="A7" s="11" t="inlineStr">
        <is>
          <t>热源效率</t>
        </is>
      </c>
      <c r="B7" s="12" t="n">
        <v>0.9</v>
      </c>
      <c r="C7" s="13" t="inlineStr">
        <is>
          <t>-</t>
        </is>
      </c>
      <c r="D7" s="14" t="inlineStr">
        <is>
          <t>设备铭牌</t>
        </is>
      </c>
      <c r="E7" s="14" t="inlineStr">
        <is>
          <t>85-95%</t>
        </is>
      </c>
    </row>
    <row r="8">
      <c r="A8" s="11" t="inlineStr">
        <is>
          <t>循环泵功率</t>
        </is>
      </c>
      <c r="B8" s="12" t="inlineStr"/>
      <c r="C8" s="13" t="inlineStr">
        <is>
          <t>kW</t>
        </is>
      </c>
      <c r="D8" s="14" t="inlineStr">
        <is>
          <t>设备铭牌</t>
        </is>
      </c>
      <c r="E8" s="14" t="inlineStr"/>
    </row>
    <row r="10">
      <c r="A10" s="20" t="inlineStr">
        <is>
          <t>热源耗能量</t>
        </is>
      </c>
      <c r="B10" s="21" t="inlineStr">
        <is>
          <t>kWh或m³</t>
        </is>
      </c>
      <c r="C10" s="22">
        <f>B3/B5</f>
        <v/>
      </c>
      <c r="D10" s="23">
        <f>热负荷/效率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980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输配系统能耗计算</t>
        </is>
      </c>
    </row>
    <row r="3">
      <c r="A3" s="15" t="inlineStr">
        <is>
          <t>输配参数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冷冻水泵功率</t>
        </is>
      </c>
      <c r="B5" s="12" t="inlineStr"/>
      <c r="C5" s="13" t="inlineStr">
        <is>
          <t>kW</t>
        </is>
      </c>
      <c r="D5" s="14" t="inlineStr">
        <is>
          <t>设备铭牌</t>
        </is>
      </c>
      <c r="E5" s="14" t="inlineStr"/>
    </row>
    <row r="6">
      <c r="A6" s="11" t="inlineStr">
        <is>
          <t>冷却水泵功率</t>
        </is>
      </c>
      <c r="B6" s="12" t="inlineStr"/>
      <c r="C6" s="13" t="inlineStr">
        <is>
          <t>kW</t>
        </is>
      </c>
      <c r="D6" s="14" t="inlineStr">
        <is>
          <t>设备铭牌</t>
        </is>
      </c>
      <c r="E6" s="14" t="inlineStr"/>
    </row>
    <row r="7">
      <c r="A7" s="11" t="inlineStr">
        <is>
          <t>循环泵功率</t>
        </is>
      </c>
      <c r="B7" s="12" t="inlineStr"/>
      <c r="C7" s="13" t="inlineStr">
        <is>
          <t>kW</t>
        </is>
      </c>
      <c r="D7" s="14" t="inlineStr">
        <is>
          <t>设备铭牌</t>
        </is>
      </c>
      <c r="E7" s="14" t="inlineStr"/>
    </row>
    <row r="8">
      <c r="A8" s="11" t="inlineStr">
        <is>
          <t>年运行时间</t>
        </is>
      </c>
      <c r="B8" s="12" t="n">
        <v>2880</v>
      </c>
      <c r="C8" s="13" t="inlineStr">
        <is>
          <t>h</t>
        </is>
      </c>
      <c r="D8" s="14" t="inlineStr">
        <is>
          <t>实际运行</t>
        </is>
      </c>
      <c r="E8" s="14" t="inlineStr"/>
    </row>
    <row r="9">
      <c r="A9" s="11" t="inlineStr">
        <is>
          <t>变频系数</t>
        </is>
      </c>
      <c r="B9" s="12" t="n">
        <v>0.8</v>
      </c>
      <c r="C9" s="13" t="inlineStr">
        <is>
          <t>-</t>
        </is>
      </c>
      <c r="D9" s="14" t="inlineStr">
        <is>
          <t>经验值</t>
        </is>
      </c>
      <c r="E9" s="14" t="inlineStr">
        <is>
          <t>0.6-0.9</t>
        </is>
      </c>
    </row>
    <row r="11">
      <c r="A11" s="20" t="inlineStr">
        <is>
          <t>输配系统年能耗</t>
        </is>
      </c>
      <c r="B11" s="21" t="inlineStr">
        <is>
          <t>kWh</t>
        </is>
      </c>
      <c r="C11" s="22">
        <f>(B3+B4+B5)*B6*B7</f>
        <v/>
      </c>
      <c r="D11" s="23">
        <f>总功率×运行时间×变频系数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91E63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制冷剂温室气体排放</t>
        </is>
      </c>
    </row>
    <row r="3">
      <c r="A3" s="16" t="inlineStr">
        <is>
          <t>制冷剂参数</t>
        </is>
      </c>
    </row>
    <row r="4">
      <c r="A4" s="10" t="inlineStr">
        <is>
          <t>参数</t>
        </is>
      </c>
      <c r="B4" s="10" t="inlineStr">
        <is>
          <t>R410A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制冷剂类型</t>
        </is>
      </c>
      <c r="B5" s="12" t="inlineStr"/>
      <c r="C5" s="13" t="inlineStr">
        <is>
          <t>-</t>
        </is>
      </c>
      <c r="D5" s="14" t="inlineStr">
        <is>
          <t>设备铭牌</t>
        </is>
      </c>
      <c r="E5" s="14" t="inlineStr">
        <is>
          <t>R410A/R134a等</t>
        </is>
      </c>
    </row>
    <row r="6">
      <c r="A6" s="11" t="inlineStr">
        <is>
          <t>GWP值</t>
        </is>
      </c>
      <c r="B6" s="12" t="n">
        <v>120</v>
      </c>
      <c r="C6" s="13" t="inlineStr">
        <is>
          <t>-</t>
        </is>
      </c>
      <c r="D6" s="14" t="inlineStr">
        <is>
          <t>IPCC AR5</t>
        </is>
      </c>
      <c r="E6" s="14" t="inlineStr">
        <is>
          <t>R410A=2088</t>
        </is>
      </c>
    </row>
    <row r="7">
      <c r="A7" s="11" t="inlineStr">
        <is>
          <t>充注量</t>
        </is>
      </c>
      <c r="B7" s="12" t="n">
        <v>6</v>
      </c>
      <c r="C7" s="13" t="inlineStr">
        <is>
          <t>kg/台</t>
        </is>
      </c>
      <c r="D7" s="14" t="inlineStr">
        <is>
          <t>设备铭牌</t>
        </is>
      </c>
      <c r="E7" s="14" t="inlineStr"/>
    </row>
    <row r="8">
      <c r="A8" s="11" t="inlineStr">
        <is>
          <t>设备台数</t>
        </is>
      </c>
      <c r="B8" s="12" t="n">
        <v>1</v>
      </c>
      <c r="C8" s="13" t="inlineStr">
        <is>
          <t>台</t>
        </is>
      </c>
      <c r="D8" s="14" t="inlineStr">
        <is>
          <t>设计文件</t>
        </is>
      </c>
      <c r="E8" s="14" t="inlineStr"/>
    </row>
    <row r="9">
      <c r="A9" s="11" t="inlineStr">
        <is>
          <t>设备寿命</t>
        </is>
      </c>
      <c r="B9" s="12" t="n">
        <v>15</v>
      </c>
      <c r="C9" s="13" t="inlineStr">
        <is>
          <t>年</t>
        </is>
      </c>
      <c r="D9" s="14" t="inlineStr">
        <is>
          <t>设计文件</t>
        </is>
      </c>
      <c r="E9" s="14" t="inlineStr"/>
    </row>
    <row r="10">
      <c r="A10" s="11" t="inlineStr">
        <is>
          <t>年泄漏率</t>
        </is>
      </c>
      <c r="B10" s="12" t="n">
        <v>5</v>
      </c>
      <c r="C10" s="13" t="inlineStr">
        <is>
          <t>%</t>
        </is>
      </c>
      <c r="D10" s="14" t="inlineStr">
        <is>
          <t>经验值</t>
        </is>
      </c>
      <c r="E10" s="14" t="inlineStr">
        <is>
          <t>3-10%</t>
        </is>
      </c>
    </row>
    <row r="12">
      <c r="A12" s="20" t="inlineStr">
        <is>
          <t>制冷剂年排放量</t>
        </is>
      </c>
      <c r="B12" s="21" t="inlineStr">
        <is>
          <t>tCO₂e</t>
        </is>
      </c>
      <c r="C12" s="22">
        <f>B4*B5/B7*(B8/100)</f>
        <v/>
      </c>
      <c r="D12" s="23">
        <f>充注量×台数/寿命×泄漏率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F51B5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生活热水系统能耗计算</t>
        </is>
      </c>
    </row>
    <row r="3">
      <c r="A3" s="17" t="inlineStr">
        <is>
          <t>热水参数</t>
        </is>
      </c>
    </row>
    <row r="4">
      <c r="A4" s="10" t="inlineStr">
        <is>
          <t>参数</t>
        </is>
      </c>
      <c r="B4" s="10" t="n">
        <v>1800</v>
      </c>
      <c r="C4" s="10" t="inlineStr">
        <is>
          <t>单位</t>
        </is>
      </c>
      <c r="D4" s="10" t="inlineStr">
        <is>
          <t>标准/来源</t>
        </is>
      </c>
      <c r="E4" s="10" t="inlineStr">
        <is>
          <t>说明</t>
        </is>
      </c>
    </row>
    <row r="5">
      <c r="A5" s="11" t="inlineStr">
        <is>
          <t>用水人数</t>
        </is>
      </c>
      <c r="B5" s="12" t="inlineStr"/>
      <c r="C5" s="13" t="inlineStr">
        <is>
          <t>人</t>
        </is>
      </c>
      <c r="D5" s="14" t="inlineStr">
        <is>
          <t>物业记录</t>
        </is>
      </c>
      <c r="E5" s="14" t="inlineStr"/>
    </row>
    <row r="6">
      <c r="A6" s="11" t="inlineStr">
        <is>
          <t>用水定额</t>
        </is>
      </c>
      <c r="B6" s="12" t="n">
        <v>50</v>
      </c>
      <c r="C6" s="13" t="inlineStr">
        <is>
          <t>L/人·天</t>
        </is>
      </c>
      <c r="D6" s="14" t="inlineStr">
        <is>
          <t>GB 50555</t>
        </is>
      </c>
      <c r="E6" s="14" t="inlineStr">
        <is>
          <t>办公建筑</t>
        </is>
      </c>
    </row>
    <row r="7">
      <c r="A7" s="11" t="inlineStr">
        <is>
          <t>设计热水温度</t>
        </is>
      </c>
      <c r="B7" s="12" t="n">
        <v>60</v>
      </c>
      <c r="C7" s="13" t="inlineStr">
        <is>
          <t>°C</t>
        </is>
      </c>
      <c r="D7" s="14" t="inlineStr">
        <is>
          <t>设计要求</t>
        </is>
      </c>
      <c r="E7" s="14" t="inlineStr"/>
    </row>
    <row r="8">
      <c r="A8" s="11" t="inlineStr">
        <is>
          <t>设计冷水温度</t>
        </is>
      </c>
      <c r="B8" s="12" t="n">
        <v>10</v>
      </c>
      <c r="C8" s="13" t="inlineStr">
        <is>
          <t>°C</t>
        </is>
      </c>
      <c r="D8" s="14" t="inlineStr">
        <is>
          <t>来自02表</t>
        </is>
      </c>
      <c r="E8" s="14" t="inlineStr"/>
    </row>
    <row r="9">
      <c r="A9" s="11" t="inlineStr">
        <is>
          <t>年使用天数</t>
        </is>
      </c>
      <c r="B9" s="12" t="n">
        <v>365</v>
      </c>
      <c r="C9" s="13" t="inlineStr">
        <is>
          <t>天</t>
        </is>
      </c>
      <c r="D9" s="14" t="inlineStr">
        <is>
          <t>实际运行</t>
        </is>
      </c>
      <c r="E9" s="14" t="inlineStr"/>
    </row>
    <row r="10">
      <c r="A10" s="11" t="inlineStr">
        <is>
          <t>热源效率</t>
        </is>
      </c>
      <c r="B10" s="12" t="n">
        <v>0.9</v>
      </c>
      <c r="C10" s="13" t="inlineStr">
        <is>
          <t>-</t>
        </is>
      </c>
      <c r="D10" s="14" t="inlineStr">
        <is>
          <t>设备铭牌</t>
        </is>
      </c>
      <c r="E10" s="14" t="inlineStr"/>
    </row>
    <row r="12">
      <c r="A12" s="20" t="inlineStr">
        <is>
          <t>小时平均耗热量</t>
        </is>
      </c>
      <c r="B12" s="21" t="inlineStr">
        <is>
          <t>kWh</t>
        </is>
      </c>
      <c r="C12" s="22">
        <f>4.187*B3*B4*(B5-B6)/24</f>
        <v/>
      </c>
      <c r="D12" s="23">
        <f>4.187×人数×定额×温差/24</f>
        <v/>
      </c>
    </row>
    <row r="13">
      <c r="A13" s="20" t="inlineStr">
        <is>
          <t>年耗热量</t>
        </is>
      </c>
      <c r="B13" s="21" t="inlineStr">
        <is>
          <t>kWh</t>
        </is>
      </c>
      <c r="C13" s="22">
        <f>B10*B7</f>
        <v/>
      </c>
      <c r="D13" s="23">
        <f>小时耗热量×天数</f>
        <v/>
      </c>
    </row>
    <row r="14">
      <c r="A14" s="20" t="inlineStr">
        <is>
          <t>生活热水年能耗</t>
        </is>
      </c>
      <c r="B14" s="21" t="inlineStr">
        <is>
          <t>kWh</t>
        </is>
      </c>
      <c r="C14" s="26">
        <f>B11/B8</f>
        <v/>
      </c>
      <c r="D14" s="27">
        <f>年耗热量/效率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9688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室内照明能耗计算</t>
        </is>
      </c>
    </row>
    <row r="3">
      <c r="A3" s="18" t="inlineStr">
        <is>
          <t>各区域照明</t>
        </is>
      </c>
    </row>
    <row r="4">
      <c r="A4" s="10" t="inlineStr">
        <is>
          <t>区域</t>
        </is>
      </c>
      <c r="B4" s="10" t="inlineStr">
        <is>
          <t>面积(m²)</t>
        </is>
      </c>
      <c r="C4" s="10" t="inlineStr">
        <is>
          <t>功率密度(W/m²)</t>
        </is>
      </c>
      <c r="D4" s="10" t="inlineStr">
        <is>
          <t>日运行时间(h)</t>
        </is>
      </c>
      <c r="E4" s="10" t="inlineStr">
        <is>
          <t>年运行天数</t>
        </is>
      </c>
    </row>
    <row r="5">
      <c r="A5" s="11" t="inlineStr">
        <is>
          <t>办公室</t>
        </is>
      </c>
      <c r="B5" s="12" t="n">
        <v>18000</v>
      </c>
      <c r="C5" s="13" t="n">
        <v>9</v>
      </c>
      <c r="D5" s="14" t="n">
        <v>10</v>
      </c>
      <c r="E5" s="14" t="n">
        <v>250</v>
      </c>
    </row>
    <row r="6">
      <c r="A6" s="11" t="inlineStr">
        <is>
          <t>会议室</t>
        </is>
      </c>
      <c r="B6" s="12" t="n">
        <v>2500</v>
      </c>
      <c r="C6" s="13" t="n">
        <v>11</v>
      </c>
      <c r="D6" s="14" t="n">
        <v>8</v>
      </c>
      <c r="E6" s="14" t="n">
        <v>250</v>
      </c>
    </row>
    <row r="7">
      <c r="A7" s="11" t="inlineStr">
        <is>
          <t>大堂门厅</t>
        </is>
      </c>
      <c r="B7" s="12" t="n">
        <v>3000</v>
      </c>
      <c r="C7" s="13" t="n">
        <v>15</v>
      </c>
      <c r="D7" s="14" t="n">
        <v>14</v>
      </c>
      <c r="E7" s="14" t="n">
        <v>365</v>
      </c>
    </row>
    <row r="8">
      <c r="A8" s="11" t="inlineStr">
        <is>
          <t>走廊</t>
        </is>
      </c>
      <c r="B8" s="12" t="n">
        <v>4000</v>
      </c>
      <c r="C8" s="13" t="n">
        <v>5</v>
      </c>
      <c r="D8" s="14" t="n">
        <v>14</v>
      </c>
      <c r="E8" s="14" t="n">
        <v>365</v>
      </c>
    </row>
    <row r="9">
      <c r="A9" s="11" t="inlineStr">
        <is>
          <t>地下车库</t>
        </is>
      </c>
      <c r="B9" s="12" t="n">
        <v>6000</v>
      </c>
      <c r="C9" s="13" t="n">
        <v>2</v>
      </c>
      <c r="D9" s="14" t="n">
        <v>24</v>
      </c>
      <c r="E9" s="14" t="n">
        <v>365</v>
      </c>
    </row>
    <row r="10">
      <c r="A10" s="11" t="inlineStr">
        <is>
          <t>设备用房</t>
        </is>
      </c>
      <c r="B10" s="12" t="n">
        <v>1000</v>
      </c>
      <c r="C10" s="13" t="n">
        <v>5</v>
      </c>
      <c r="D10" s="14" t="n">
        <v>4</v>
      </c>
      <c r="E10" s="14" t="n">
        <v>365</v>
      </c>
    </row>
    <row r="12">
      <c r="A12" s="20" t="inlineStr">
        <is>
          <t>照明年能耗</t>
        </is>
      </c>
      <c r="B12" s="21" t="inlineStr">
        <is>
          <t>kWh</t>
        </is>
      </c>
      <c r="C12" s="22">
        <f>Σ(面积×功率密度×时间×天数)/1000</f>
        <v/>
      </c>
      <c r="D12" s="23" t="inlineStr">
        <is>
          <t>各区域之和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107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室外照明能耗计算</t>
        </is>
      </c>
    </row>
    <row r="3">
      <c r="A3" s="19" t="inlineStr">
        <is>
          <t>室外照明</t>
        </is>
      </c>
    </row>
    <row r="4">
      <c r="A4" s="10" t="inlineStr">
        <is>
          <t>区域</t>
        </is>
      </c>
      <c r="B4" s="10" t="inlineStr">
        <is>
          <t>功率(kW)</t>
        </is>
      </c>
      <c r="C4" s="10" t="inlineStr">
        <is>
          <t>日运行时间(h)</t>
        </is>
      </c>
      <c r="D4" s="10" t="inlineStr">
        <is>
          <t>年运行天数</t>
        </is>
      </c>
      <c r="E4" s="10" t="inlineStr">
        <is>
          <t>说明</t>
        </is>
      </c>
    </row>
    <row r="5">
      <c r="A5" s="11" t="inlineStr">
        <is>
          <t>景观照明</t>
        </is>
      </c>
      <c r="B5" s="12" t="inlineStr"/>
      <c r="C5" s="13" t="n">
        <v>4</v>
      </c>
      <c r="D5" s="14" t="n">
        <v>365</v>
      </c>
      <c r="E5" s="14" t="inlineStr"/>
    </row>
    <row r="6">
      <c r="A6" s="11" t="inlineStr">
        <is>
          <t>道路照明</t>
        </is>
      </c>
      <c r="B6" s="12" t="inlineStr"/>
      <c r="C6" s="13" t="n">
        <v>10</v>
      </c>
      <c r="D6" s="14" t="n">
        <v>365</v>
      </c>
      <c r="E6" s="14" t="inlineStr"/>
    </row>
    <row r="7">
      <c r="A7" s="11" t="inlineStr">
        <is>
          <t>停车场照明</t>
        </is>
      </c>
      <c r="B7" s="12" t="inlineStr"/>
      <c r="C7" s="13" t="n">
        <v>12</v>
      </c>
      <c r="D7" s="14" t="n">
        <v>365</v>
      </c>
      <c r="E7" s="14" t="inlineStr"/>
    </row>
    <row r="8">
      <c r="A8" s="11" t="inlineStr">
        <is>
          <t>应急照明</t>
        </is>
      </c>
      <c r="B8" s="12" t="inlineStr"/>
      <c r="C8" s="13" t="n">
        <v>24</v>
      </c>
      <c r="D8" s="14" t="n">
        <v>365</v>
      </c>
      <c r="E8" s="14" t="inlineStr"/>
    </row>
    <row r="10">
      <c r="A10" s="20" t="inlineStr">
        <is>
          <t>室外照明年能耗</t>
        </is>
      </c>
      <c r="B10" s="21" t="inlineStr">
        <is>
          <t>kWh</t>
        </is>
      </c>
      <c r="C10" s="22">
        <f>Σ(功率×时间×天数)</f>
        <v/>
      </c>
      <c r="D10" s="23" t="inlineStr">
        <is>
          <t>各区域之和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C34A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电梯系统能耗计算</t>
        </is>
      </c>
    </row>
    <row r="3">
      <c r="A3" s="24" t="inlineStr">
        <is>
          <t>电梯参数</t>
        </is>
      </c>
    </row>
    <row r="4">
      <c r="A4" s="10" t="inlineStr">
        <is>
          <t>参数</t>
        </is>
      </c>
      <c r="B4" s="10" t="n">
        <v>6</v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客梯数量</t>
        </is>
      </c>
      <c r="B5" s="12" t="n">
        <v>1050</v>
      </c>
      <c r="C5" s="13" t="inlineStr">
        <is>
          <t>台</t>
        </is>
      </c>
      <c r="D5" s="14" t="inlineStr">
        <is>
          <t>设计文件</t>
        </is>
      </c>
      <c r="E5" s="14" t="inlineStr"/>
    </row>
    <row r="6">
      <c r="A6" s="11" t="inlineStr">
        <is>
          <t>客梯载重</t>
        </is>
      </c>
      <c r="B6" s="12" t="n">
        <v>1.75</v>
      </c>
      <c r="C6" s="13" t="inlineStr">
        <is>
          <t>kg</t>
        </is>
      </c>
      <c r="D6" s="14" t="inlineStr">
        <is>
          <t>设备铭牌</t>
        </is>
      </c>
      <c r="E6" s="14" t="inlineStr"/>
    </row>
    <row r="7">
      <c r="A7" s="11" t="inlineStr">
        <is>
          <t>客梯速度</t>
        </is>
      </c>
      <c r="B7" s="12" t="n">
        <v>2</v>
      </c>
      <c r="C7" s="13" t="inlineStr">
        <is>
          <t>m/s</t>
        </is>
      </c>
      <c r="D7" s="14" t="inlineStr">
        <is>
          <t>设备铭牌</t>
        </is>
      </c>
      <c r="E7" s="14" t="inlineStr"/>
    </row>
    <row r="8">
      <c r="A8" s="11" t="inlineStr">
        <is>
          <t>货梯数量</t>
        </is>
      </c>
      <c r="B8" s="12" t="n">
        <v>2000</v>
      </c>
      <c r="C8" s="13" t="inlineStr">
        <is>
          <t>台</t>
        </is>
      </c>
      <c r="D8" s="14" t="inlineStr">
        <is>
          <t>设计文件</t>
        </is>
      </c>
      <c r="E8" s="14" t="inlineStr"/>
    </row>
    <row r="9">
      <c r="A9" s="11" t="inlineStr">
        <is>
          <t>货梯载重</t>
        </is>
      </c>
      <c r="B9" s="12" t="n">
        <v>0.35</v>
      </c>
      <c r="C9" s="13" t="inlineStr">
        <is>
          <t>kg</t>
        </is>
      </c>
      <c r="D9" s="14" t="inlineStr">
        <is>
          <t>设备铭牌</t>
        </is>
      </c>
      <c r="E9" s="14" t="inlineStr"/>
    </row>
    <row r="10">
      <c r="A10" s="11" t="inlineStr">
        <is>
          <t>特定能量消耗</t>
        </is>
      </c>
      <c r="B10" s="12" t="n">
        <v>2800</v>
      </c>
      <c r="C10" s="13" t="inlineStr">
        <is>
          <t>mWh/kgm</t>
        </is>
      </c>
      <c r="D10" s="14" t="inlineStr">
        <is>
          <t>设备资料</t>
        </is>
      </c>
      <c r="E10" s="14" t="inlineStr"/>
    </row>
    <row r="11">
      <c r="A11" s="11" t="inlineStr">
        <is>
          <t>年运行时间</t>
        </is>
      </c>
      <c r="B11" s="12" t="inlineStr"/>
      <c r="C11" s="13" t="inlineStr">
        <is>
          <t>h</t>
        </is>
      </c>
      <c r="D11" s="14" t="inlineStr">
        <is>
          <t>实际运行</t>
        </is>
      </c>
      <c r="E11" s="14" t="inlineStr"/>
    </row>
    <row r="12">
      <c r="A12" s="11" t="inlineStr">
        <is>
          <t>待机功率</t>
        </is>
      </c>
      <c r="B12" s="12" t="n">
        <v>50</v>
      </c>
      <c r="C12" s="13" t="inlineStr">
        <is>
          <t>W</t>
        </is>
      </c>
      <c r="D12" s="14" t="inlineStr">
        <is>
          <t>设备铭牌</t>
        </is>
      </c>
      <c r="E12" s="14" t="inlineStr"/>
    </row>
    <row r="14">
      <c r="A14" s="20" t="inlineStr">
        <is>
          <t>电梯年能耗</t>
        </is>
      </c>
      <c r="B14" s="21" t="inlineStr">
        <is>
          <t>kWh</t>
        </is>
      </c>
      <c r="C14" s="22">
        <f>3.6×P×t×V×W/1000+待机×时间/1000</f>
        <v/>
      </c>
      <c r="D14" s="23" t="inlineStr">
        <is>
          <t>GB/T 51366-2019公式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DDC3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数据中心能耗计算</t>
        </is>
      </c>
    </row>
    <row r="3">
      <c r="A3" s="25" t="inlineStr">
        <is>
          <t>数据中心参数</t>
        </is>
      </c>
    </row>
    <row r="4">
      <c r="A4" s="10" t="inlineStr">
        <is>
          <t>参数</t>
        </is>
      </c>
      <c r="B4" s="10" t="n">
        <v>45</v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IT设备总功率</t>
        </is>
      </c>
      <c r="B5" s="12" t="inlineStr"/>
      <c r="C5" s="13" t="inlineStr">
        <is>
          <t>kW</t>
        </is>
      </c>
      <c r="D5" s="14" t="inlineStr">
        <is>
          <t>设备清单</t>
        </is>
      </c>
      <c r="E5" s="14" t="inlineStr"/>
    </row>
    <row r="6">
      <c r="A6" s="11" t="inlineStr">
        <is>
          <t>PUE值</t>
        </is>
      </c>
      <c r="B6" s="12" t="n">
        <v>1.8</v>
      </c>
      <c r="C6" s="13" t="inlineStr">
        <is>
          <t>-</t>
        </is>
      </c>
      <c r="D6" s="14" t="inlineStr">
        <is>
          <t>设计文件</t>
        </is>
      </c>
      <c r="E6" s="14" t="inlineStr">
        <is>
          <t>绿色&lt;1.5</t>
        </is>
      </c>
    </row>
    <row r="7">
      <c r="A7" s="11" t="inlineStr">
        <is>
          <t>年运行时间</t>
        </is>
      </c>
      <c r="B7" s="12" t="n">
        <v>8760</v>
      </c>
      <c r="C7" s="13" t="inlineStr">
        <is>
          <t>h</t>
        </is>
      </c>
      <c r="D7" s="14" t="inlineStr">
        <is>
          <t>实际运行</t>
        </is>
      </c>
      <c r="E7" s="14" t="inlineStr">
        <is>
          <t>24×7</t>
        </is>
      </c>
    </row>
    <row r="9">
      <c r="A9" s="20" t="inlineStr">
        <is>
          <t>数据中心年能耗</t>
        </is>
      </c>
      <c r="B9" s="21" t="inlineStr">
        <is>
          <t>kWh</t>
        </is>
      </c>
      <c r="C9" s="22">
        <f>B3*B4*B5</f>
        <v/>
      </c>
      <c r="D9" s="23">
        <f>IT功率×PUE×时间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FEB3B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充电桩能耗计算</t>
        </is>
      </c>
    </row>
    <row r="3">
      <c r="A3" s="9" t="inlineStr">
        <is>
          <t>充电桩参数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慢充桩数量</t>
        </is>
      </c>
      <c r="B5" s="12" t="inlineStr"/>
      <c r="C5" s="13" t="inlineStr">
        <is>
          <t>个</t>
        </is>
      </c>
      <c r="D5" s="14" t="inlineStr">
        <is>
          <t>设计文件</t>
        </is>
      </c>
      <c r="E5" s="14" t="inlineStr">
        <is>
          <t>7kW</t>
        </is>
      </c>
    </row>
    <row r="6">
      <c r="A6" s="11" t="inlineStr">
        <is>
          <t>快充桩数量</t>
        </is>
      </c>
      <c r="B6" s="12" t="inlineStr"/>
      <c r="C6" s="13" t="inlineStr">
        <is>
          <t>个</t>
        </is>
      </c>
      <c r="D6" s="14" t="inlineStr">
        <is>
          <t>设计文件</t>
        </is>
      </c>
      <c r="E6" s="14" t="inlineStr">
        <is>
          <t>60kW</t>
        </is>
      </c>
    </row>
    <row r="7">
      <c r="A7" s="11" t="inlineStr">
        <is>
          <t>慢充使用率</t>
        </is>
      </c>
      <c r="B7" s="12" t="n">
        <v>30</v>
      </c>
      <c r="C7" s="13" t="inlineStr">
        <is>
          <t>%</t>
        </is>
      </c>
      <c r="D7" s="14" t="inlineStr">
        <is>
          <t>经验值</t>
        </is>
      </c>
      <c r="E7" s="14" t="inlineStr"/>
    </row>
    <row r="8">
      <c r="A8" s="11" t="inlineStr">
        <is>
          <t>快充使用率</t>
        </is>
      </c>
      <c r="B8" s="12" t="n">
        <v>10</v>
      </c>
      <c r="C8" s="13" t="inlineStr">
        <is>
          <t>%</t>
        </is>
      </c>
      <c r="D8" s="14" t="inlineStr">
        <is>
          <t>经验值</t>
        </is>
      </c>
      <c r="E8" s="14" t="inlineStr"/>
    </row>
    <row r="9">
      <c r="A9" s="11" t="inlineStr">
        <is>
          <t>年运行天数</t>
        </is>
      </c>
      <c r="B9" s="12" t="n">
        <v>365</v>
      </c>
      <c r="C9" s="13" t="inlineStr">
        <is>
          <t>天</t>
        </is>
      </c>
      <c r="D9" s="14" t="inlineStr">
        <is>
          <t>实际运行</t>
        </is>
      </c>
      <c r="E9" s="14" t="inlineStr"/>
    </row>
    <row r="11">
      <c r="A11" s="20" t="inlineStr">
        <is>
          <t>充电桩年能耗</t>
        </is>
      </c>
      <c r="B11" s="21" t="inlineStr">
        <is>
          <t>kWh</t>
        </is>
      </c>
      <c r="C11" s="22">
        <f>慢充×7×使用率×天数+快充×60×使用率×天数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5722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厨房设备能耗计算</t>
        </is>
      </c>
    </row>
    <row r="3">
      <c r="A3" s="15" t="inlineStr">
        <is>
          <t>厨房设备</t>
        </is>
      </c>
    </row>
    <row r="4">
      <c r="A4" s="10" t="inlineStr">
        <is>
          <t>设备</t>
        </is>
      </c>
      <c r="B4" s="10" t="inlineStr">
        <is>
          <t>功率(kW)</t>
        </is>
      </c>
      <c r="C4" s="10" t="inlineStr">
        <is>
          <t>日运行时间(h)</t>
        </is>
      </c>
      <c r="D4" s="10" t="inlineStr">
        <is>
          <t>使用率(%)</t>
        </is>
      </c>
      <c r="E4" s="10" t="inlineStr">
        <is>
          <t>说明</t>
        </is>
      </c>
    </row>
    <row r="5">
      <c r="A5" s="11" t="inlineStr">
        <is>
          <t>灶具</t>
        </is>
      </c>
      <c r="B5" s="12" t="inlineStr"/>
      <c r="C5" s="13" t="n">
        <v>6</v>
      </c>
      <c r="D5" s="14" t="n">
        <v>50</v>
      </c>
      <c r="E5" s="14" t="inlineStr"/>
    </row>
    <row r="6">
      <c r="A6" s="11" t="inlineStr">
        <is>
          <t>蒸箱</t>
        </is>
      </c>
      <c r="B6" s="12" t="inlineStr"/>
      <c r="C6" s="13" t="n">
        <v>4</v>
      </c>
      <c r="D6" s="14" t="n">
        <v>40</v>
      </c>
      <c r="E6" s="14" t="inlineStr"/>
    </row>
    <row r="7">
      <c r="A7" s="11" t="inlineStr">
        <is>
          <t>冰箱</t>
        </is>
      </c>
      <c r="B7" s="12" t="inlineStr"/>
      <c r="C7" s="13" t="n">
        <v>24</v>
      </c>
      <c r="D7" s="14" t="n">
        <v>100</v>
      </c>
      <c r="E7" s="14" t="inlineStr"/>
    </row>
    <row r="8">
      <c r="A8" s="11" t="inlineStr">
        <is>
          <t>排风系统</t>
        </is>
      </c>
      <c r="B8" s="12" t="inlineStr"/>
      <c r="C8" s="13" t="n">
        <v>8</v>
      </c>
      <c r="D8" s="14" t="n">
        <v>50</v>
      </c>
      <c r="E8" s="14" t="inlineStr"/>
    </row>
    <row r="10">
      <c r="A10" s="20" t="inlineStr">
        <is>
          <t>厨房年能耗</t>
        </is>
      </c>
      <c r="B10" s="21" t="inlineStr">
        <is>
          <t>kWh</t>
        </is>
      </c>
      <c r="C10" s="22">
        <f>Σ(功率×时间×使用率×天数)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CD4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供水系统能耗计算</t>
        </is>
      </c>
    </row>
    <row r="3">
      <c r="A3" s="16" t="inlineStr">
        <is>
          <t>供水参数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年用水量</t>
        </is>
      </c>
      <c r="B5" s="12" t="inlineStr"/>
      <c r="C5" s="13" t="inlineStr">
        <is>
          <t>m³</t>
        </is>
      </c>
      <c r="D5" s="14" t="inlineStr">
        <is>
          <t>水表</t>
        </is>
      </c>
      <c r="E5" s="14" t="inlineStr"/>
    </row>
    <row r="6">
      <c r="A6" s="11" t="inlineStr">
        <is>
          <t>供水泵功率</t>
        </is>
      </c>
      <c r="B6" s="12" t="inlineStr"/>
      <c r="C6" s="13" t="inlineStr">
        <is>
          <t>kW</t>
        </is>
      </c>
      <c r="D6" s="14" t="inlineStr">
        <is>
          <t>设备铭牌</t>
        </is>
      </c>
      <c r="E6" s="14" t="inlineStr"/>
    </row>
    <row r="7">
      <c r="A7" s="11" t="inlineStr">
        <is>
          <t>供水能耗系数</t>
        </is>
      </c>
      <c r="B7" s="12" t="n">
        <v>0.35</v>
      </c>
      <c r="C7" s="13" t="inlineStr">
        <is>
          <t>kWh/m³</t>
        </is>
      </c>
      <c r="D7" s="14" t="inlineStr">
        <is>
          <t>经验值</t>
        </is>
      </c>
      <c r="E7" s="14" t="inlineStr"/>
    </row>
    <row r="9">
      <c r="A9" s="20" t="inlineStr">
        <is>
          <t>供水系统年能耗</t>
        </is>
      </c>
      <c r="B9" s="21" t="inlineStr">
        <is>
          <t>kWh</t>
        </is>
      </c>
      <c r="C9" s="22">
        <f>B3*B5</f>
        <v/>
      </c>
      <c r="D9" s="23">
        <f>用水量×能耗系数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9554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通风系统能耗计算</t>
        </is>
      </c>
    </row>
    <row r="3">
      <c r="A3" s="17" t="inlineStr">
        <is>
          <t>通风参数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风机总功率</t>
        </is>
      </c>
      <c r="B5" s="12" t="inlineStr"/>
      <c r="C5" s="13" t="inlineStr">
        <is>
          <t>kW</t>
        </is>
      </c>
      <c r="D5" s="14" t="inlineStr">
        <is>
          <t>设备铭牌</t>
        </is>
      </c>
      <c r="E5" s="14" t="inlineStr"/>
    </row>
    <row r="6">
      <c r="A6" s="11" t="inlineStr">
        <is>
          <t>年运行时间</t>
        </is>
      </c>
      <c r="B6" s="12" t="inlineStr"/>
      <c r="C6" s="13" t="inlineStr">
        <is>
          <t>h</t>
        </is>
      </c>
      <c r="D6" s="14" t="inlineStr">
        <is>
          <t>实际运行</t>
        </is>
      </c>
      <c r="E6" s="14" t="inlineStr"/>
    </row>
    <row r="7">
      <c r="A7" s="11" t="inlineStr">
        <is>
          <t>变频系数</t>
        </is>
      </c>
      <c r="B7" s="12" t="n">
        <v>0.75</v>
      </c>
      <c r="C7" s="13" t="inlineStr">
        <is>
          <t>-</t>
        </is>
      </c>
      <c r="D7" s="14" t="inlineStr">
        <is>
          <t>经验值</t>
        </is>
      </c>
      <c r="E7" s="14" t="inlineStr"/>
    </row>
    <row r="9">
      <c r="A9" s="20" t="inlineStr">
        <is>
          <t>通风系统年能耗</t>
        </is>
      </c>
      <c r="B9" s="21" t="inlineStr">
        <is>
          <t>kWh</t>
        </is>
      </c>
      <c r="C9" s="22">
        <f>B3*B4*B5</f>
        <v/>
      </c>
      <c r="D9" s="23">
        <f>功率×时间×变频系数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9800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光伏系统发电计算</t>
        </is>
      </c>
    </row>
    <row r="3">
      <c r="A3" s="18" t="inlineStr">
        <is>
          <t>光伏参数</t>
        </is>
      </c>
    </row>
    <row r="4">
      <c r="A4" s="10" t="inlineStr">
        <is>
          <t>参数</t>
        </is>
      </c>
      <c r="B4" s="10" t="n">
        <v>2000</v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光伏面板面积</t>
        </is>
      </c>
      <c r="B5" s="12" t="inlineStr"/>
      <c r="C5" s="13" t="inlineStr">
        <is>
          <t>m²</t>
        </is>
      </c>
      <c r="D5" s="14" t="inlineStr">
        <is>
          <t>设计文件</t>
        </is>
      </c>
      <c r="E5" s="14" t="inlineStr"/>
    </row>
    <row r="6">
      <c r="A6" s="11" t="inlineStr">
        <is>
          <t>年辐射照度</t>
        </is>
      </c>
      <c r="B6" s="12" t="n">
        <v>18</v>
      </c>
      <c r="C6" s="13" t="inlineStr">
        <is>
          <t>kWh/m²</t>
        </is>
      </c>
      <c r="D6" s="14" t="inlineStr">
        <is>
          <t>来自02表</t>
        </is>
      </c>
      <c r="E6" s="14" t="inlineStr"/>
    </row>
    <row r="7">
      <c r="A7" s="11" t="inlineStr">
        <is>
          <t>转换效率</t>
        </is>
      </c>
      <c r="B7" s="12" t="n">
        <v>20</v>
      </c>
      <c r="C7" s="13" t="inlineStr">
        <is>
          <t>%</t>
        </is>
      </c>
      <c r="D7" s="14" t="inlineStr">
        <is>
          <t>设备铭牌</t>
        </is>
      </c>
      <c r="E7" s="14" t="inlineStr"/>
    </row>
    <row r="8">
      <c r="A8" s="11" t="inlineStr">
        <is>
          <t>系统损失率</t>
        </is>
      </c>
      <c r="B8" s="12" t="n">
        <v>20</v>
      </c>
      <c r="C8" s="13" t="inlineStr">
        <is>
          <t>%</t>
        </is>
      </c>
      <c r="D8" s="14" t="inlineStr">
        <is>
          <t>设计文件</t>
        </is>
      </c>
      <c r="E8" s="14" t="inlineStr"/>
    </row>
    <row r="9">
      <c r="A9" s="11" t="inlineStr">
        <is>
          <t>电网排放因子</t>
        </is>
      </c>
      <c r="B9" s="12" t="n">
        <v>0.5836</v>
      </c>
      <c r="C9" s="13" t="inlineStr">
        <is>
          <t>kgCO₂/kWh</t>
        </is>
      </c>
      <c r="D9" s="14" t="inlineStr">
        <is>
          <t>区域电网</t>
        </is>
      </c>
      <c r="E9" s="14" t="inlineStr"/>
    </row>
    <row r="11">
      <c r="A11" s="20" t="inlineStr">
        <is>
          <t>年发电量</t>
        </is>
      </c>
      <c r="B11" s="21" t="inlineStr">
        <is>
          <t>kWh</t>
        </is>
      </c>
      <c r="C11" s="22">
        <f>B3*B4*(B5/100)*(1-B6/100)</f>
        <v/>
      </c>
      <c r="D11" s="23">
        <f>面积×辐射×效率×(1-损失)</f>
        <v/>
      </c>
    </row>
    <row r="12">
      <c r="A12" s="20" t="inlineStr">
        <is>
          <t>年减碳量</t>
        </is>
      </c>
      <c r="B12" s="21" t="inlineStr">
        <is>
          <t>tCO₂</t>
        </is>
      </c>
      <c r="C12" s="26">
        <f>B10*B7/1000</f>
        <v/>
      </c>
      <c r="D12" s="27">
        <f>发电量×排放因子/1000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4433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太阳能热水系统计算</t>
        </is>
      </c>
    </row>
    <row r="3">
      <c r="A3" s="19" t="inlineStr">
        <is>
          <t>太阳能热水参数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集热器面积</t>
        </is>
      </c>
      <c r="B5" s="12" t="inlineStr"/>
      <c r="C5" s="13" t="inlineStr">
        <is>
          <t>m²</t>
        </is>
      </c>
      <c r="D5" s="14" t="inlineStr">
        <is>
          <t>设计文件</t>
        </is>
      </c>
      <c r="E5" s="14" t="inlineStr"/>
    </row>
    <row r="6">
      <c r="A6" s="11" t="inlineStr">
        <is>
          <t>年辐照量</t>
        </is>
      </c>
      <c r="B6" s="12" t="inlineStr"/>
      <c r="C6" s="13" t="inlineStr">
        <is>
          <t>MJ/m²</t>
        </is>
      </c>
      <c r="D6" s="14" t="inlineStr">
        <is>
          <t>气象局</t>
        </is>
      </c>
      <c r="E6" s="14" t="inlineStr"/>
    </row>
    <row r="7">
      <c r="A7" s="11" t="inlineStr">
        <is>
          <t>集热效率</t>
        </is>
      </c>
      <c r="B7" s="12" t="n">
        <v>50</v>
      </c>
      <c r="C7" s="13" t="inlineStr">
        <is>
          <t>%</t>
        </is>
      </c>
      <c r="D7" s="14" t="inlineStr">
        <is>
          <t>设备铭牌</t>
        </is>
      </c>
      <c r="E7" s="14" t="inlineStr"/>
    </row>
    <row r="8">
      <c r="A8" s="11" t="inlineStr">
        <is>
          <t>热损失率</t>
        </is>
      </c>
      <c r="B8" s="12" t="n">
        <v>10</v>
      </c>
      <c r="C8" s="13" t="inlineStr">
        <is>
          <t>%</t>
        </is>
      </c>
      <c r="D8" s="14" t="inlineStr">
        <is>
          <t>设计文件</t>
        </is>
      </c>
      <c r="E8" s="14" t="inlineStr"/>
    </row>
    <row r="10">
      <c r="A10" s="20" t="inlineStr">
        <is>
          <t>年供热量</t>
        </is>
      </c>
      <c r="B10" s="21" t="inlineStr">
        <is>
          <t>kWh</t>
        </is>
      </c>
      <c r="C10" s="22">
        <f>B3*B4*(1-B6/100)*(B5/100)/3.6</f>
        <v/>
      </c>
      <c r="D10" s="23">
        <f>面积×辐照×(1-损失)×效率/3.6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4CAF5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地源热泵系统计算</t>
        </is>
      </c>
    </row>
    <row r="3">
      <c r="A3" s="24" t="inlineStr">
        <is>
          <t>地源热泵参数</t>
        </is>
      </c>
    </row>
    <row r="4">
      <c r="A4" s="10" t="inlineStr">
        <is>
          <t>参数</t>
        </is>
      </c>
      <c r="B4" s="10" t="inlineStr">
        <is>
          <t>数值</t>
        </is>
      </c>
      <c r="C4" s="10" t="inlineStr">
        <is>
          <t>单位</t>
        </is>
      </c>
      <c r="D4" s="10" t="inlineStr">
        <is>
          <t>数据来源</t>
        </is>
      </c>
      <c r="E4" s="10" t="inlineStr">
        <is>
          <t>说明</t>
        </is>
      </c>
    </row>
    <row r="5">
      <c r="A5" s="11" t="inlineStr">
        <is>
          <t>装机容量</t>
        </is>
      </c>
      <c r="B5" s="12" t="inlineStr"/>
      <c r="C5" s="13" t="inlineStr">
        <is>
          <t>kW</t>
        </is>
      </c>
      <c r="D5" s="14" t="inlineStr">
        <is>
          <t>设计文件</t>
        </is>
      </c>
      <c r="E5" s="14" t="inlineStr"/>
    </row>
    <row r="6">
      <c r="A6" s="11" t="inlineStr">
        <is>
          <t>制冷COP</t>
        </is>
      </c>
      <c r="B6" s="12" t="n">
        <v>4.5</v>
      </c>
      <c r="C6" s="13" t="inlineStr">
        <is>
          <t>-</t>
        </is>
      </c>
      <c r="D6" s="14" t="inlineStr">
        <is>
          <t>设备铭牌</t>
        </is>
      </c>
      <c r="E6" s="14" t="inlineStr"/>
    </row>
    <row r="7">
      <c r="A7" s="11" t="inlineStr">
        <is>
          <t>制热COP</t>
        </is>
      </c>
      <c r="B7" s="12" t="n">
        <v>3.8</v>
      </c>
      <c r="C7" s="13" t="inlineStr">
        <is>
          <t>-</t>
        </is>
      </c>
      <c r="D7" s="14" t="inlineStr">
        <is>
          <t>设备铭牌</t>
        </is>
      </c>
      <c r="E7" s="14" t="inlineStr"/>
    </row>
    <row r="8">
      <c r="A8" s="11" t="inlineStr">
        <is>
          <t>年供冷小时</t>
        </is>
      </c>
      <c r="B8" s="12" t="n">
        <v>1800</v>
      </c>
      <c r="C8" s="13" t="inlineStr">
        <is>
          <t>h</t>
        </is>
      </c>
      <c r="D8" s="14" t="inlineStr">
        <is>
          <t>实际运行</t>
        </is>
      </c>
      <c r="E8" s="14" t="inlineStr"/>
    </row>
    <row r="9">
      <c r="A9" s="11" t="inlineStr">
        <is>
          <t>年供暖小时</t>
        </is>
      </c>
      <c r="B9" s="12" t="n">
        <v>1200</v>
      </c>
      <c r="C9" s="13" t="inlineStr">
        <is>
          <t>h</t>
        </is>
      </c>
      <c r="D9" s="14" t="inlineStr">
        <is>
          <t>实际运行</t>
        </is>
      </c>
      <c r="E9" s="14" t="inlineStr"/>
    </row>
    <row r="11">
      <c r="A11" s="20" t="inlineStr">
        <is>
          <t>地源热泵年能耗</t>
        </is>
      </c>
      <c r="B11" s="21" t="inlineStr">
        <is>
          <t>kWh</t>
        </is>
      </c>
      <c r="C11" s="22">
        <f>B3*(B6/B4+B7/B5)</f>
        <v/>
      </c>
      <c r="D11" s="23">
        <f>容量×(冷负荷/COP冷+热负荷/COP热)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F4E79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所有能源消耗汇总</t>
        </is>
      </c>
    </row>
    <row r="3">
      <c r="A3" s="28" t="inlineStr">
        <is>
          <t>各系统能源消耗汇总</t>
        </is>
      </c>
    </row>
    <row r="4">
      <c r="A4" s="10" t="inlineStr">
        <is>
          <t>系统</t>
        </is>
      </c>
      <c r="B4" s="10" t="inlineStr">
        <is>
          <t>能耗量</t>
        </is>
      </c>
      <c r="C4" s="10" t="inlineStr">
        <is>
          <t>单位</t>
        </is>
      </c>
      <c r="D4" s="10" t="inlineStr">
        <is>
          <t>来源工作表</t>
        </is>
      </c>
      <c r="E4" s="10" t="inlineStr">
        <is>
          <t>碳排放因子</t>
        </is>
      </c>
      <c r="F4" s="10" t="inlineStr">
        <is>
          <t>碳排放量</t>
        </is>
      </c>
      <c r="G4" s="10" t="inlineStr">
        <is>
          <t>占比</t>
        </is>
      </c>
      <c r="H4" s="10" t="inlineStr">
        <is>
          <t>备注</t>
        </is>
      </c>
    </row>
    <row r="5">
      <c r="A5" s="11" t="inlineStr">
        <is>
          <t>冷源系统</t>
        </is>
      </c>
      <c r="B5" s="12" t="inlineStr"/>
      <c r="C5" s="11" t="inlineStr">
        <is>
          <t>kWh</t>
        </is>
      </c>
      <c r="D5" s="29" t="inlineStr">
        <is>
          <t>07表</t>
        </is>
      </c>
      <c r="E5" s="29" t="n">
        <v>0.5836</v>
      </c>
      <c r="F5" s="30">
        <f>IF(B5="","",B5*E5/1000)</f>
        <v/>
      </c>
      <c r="G5" s="31" t="inlineStr"/>
      <c r="H5" s="29" t="inlineStr">
        <is>
          <t>kgCO₂/MWh</t>
        </is>
      </c>
    </row>
    <row r="6">
      <c r="A6" s="11" t="inlineStr">
        <is>
          <t>热源系统</t>
        </is>
      </c>
      <c r="B6" s="12" t="inlineStr"/>
      <c r="C6" s="11" t="inlineStr">
        <is>
          <t>kWh</t>
        </is>
      </c>
      <c r="D6" s="29" t="inlineStr">
        <is>
          <t>08表</t>
        </is>
      </c>
      <c r="E6" s="29" t="n">
        <v>0.5836</v>
      </c>
      <c r="F6" s="30">
        <f>IF(B6="","",B6*E6/1000)</f>
        <v/>
      </c>
      <c r="G6" s="31" t="inlineStr"/>
      <c r="H6" s="29" t="inlineStr"/>
    </row>
    <row r="7">
      <c r="A7" s="11" t="inlineStr">
        <is>
          <t>输配系统</t>
        </is>
      </c>
      <c r="B7" s="12" t="inlineStr"/>
      <c r="C7" s="11" t="inlineStr">
        <is>
          <t>kWh</t>
        </is>
      </c>
      <c r="D7" s="29" t="inlineStr">
        <is>
          <t>09表</t>
        </is>
      </c>
      <c r="E7" s="29" t="n">
        <v>0.5836</v>
      </c>
      <c r="F7" s="30">
        <f>IF(B7="","",B7*E7/1000)</f>
        <v/>
      </c>
      <c r="G7" s="31" t="inlineStr"/>
      <c r="H7" s="29" t="inlineStr"/>
    </row>
    <row r="8">
      <c r="A8" s="11" t="inlineStr">
        <is>
          <t>生活热水</t>
        </is>
      </c>
      <c r="B8" s="12" t="inlineStr"/>
      <c r="C8" s="11" t="inlineStr">
        <is>
          <t>kWh</t>
        </is>
      </c>
      <c r="D8" s="29" t="inlineStr">
        <is>
          <t>11表</t>
        </is>
      </c>
      <c r="E8" s="29" t="n">
        <v>0.5836</v>
      </c>
      <c r="F8" s="30">
        <f>IF(B8="","",B8*E8/1000)</f>
        <v/>
      </c>
      <c r="G8" s="31" t="inlineStr"/>
      <c r="H8" s="29" t="inlineStr"/>
    </row>
    <row r="9">
      <c r="A9" s="11" t="inlineStr">
        <is>
          <t>室内照明</t>
        </is>
      </c>
      <c r="B9" s="12" t="inlineStr"/>
      <c r="C9" s="11" t="inlineStr">
        <is>
          <t>kWh</t>
        </is>
      </c>
      <c r="D9" s="29" t="inlineStr">
        <is>
          <t>12表</t>
        </is>
      </c>
      <c r="E9" s="29" t="n">
        <v>0.5836</v>
      </c>
      <c r="F9" s="30">
        <f>IF(B9="","",B9*E9/1000)</f>
        <v/>
      </c>
      <c r="G9" s="31" t="inlineStr"/>
      <c r="H9" s="29" t="inlineStr"/>
    </row>
    <row r="10">
      <c r="A10" s="11" t="inlineStr">
        <is>
          <t>室外照明</t>
        </is>
      </c>
      <c r="B10" s="12" t="inlineStr"/>
      <c r="C10" s="11" t="inlineStr">
        <is>
          <t>kWh</t>
        </is>
      </c>
      <c r="D10" s="29" t="inlineStr">
        <is>
          <t>13表</t>
        </is>
      </c>
      <c r="E10" s="29" t="n">
        <v>0.5836</v>
      </c>
      <c r="F10" s="30">
        <f>IF(B10="","",B10*E10/1000)</f>
        <v/>
      </c>
      <c r="G10" s="31" t="inlineStr"/>
      <c r="H10" s="29" t="inlineStr"/>
    </row>
    <row r="11">
      <c r="A11" s="11" t="inlineStr">
        <is>
          <t>电梯系统</t>
        </is>
      </c>
      <c r="B11" s="12" t="inlineStr"/>
      <c r="C11" s="11" t="inlineStr">
        <is>
          <t>kWh</t>
        </is>
      </c>
      <c r="D11" s="29" t="inlineStr">
        <is>
          <t>14表</t>
        </is>
      </c>
      <c r="E11" s="29" t="n">
        <v>0.5836</v>
      </c>
      <c r="F11" s="30">
        <f>IF(B11="","",B11*E11/1000)</f>
        <v/>
      </c>
      <c r="G11" s="31" t="inlineStr"/>
      <c r="H11" s="29" t="inlineStr"/>
    </row>
    <row r="12">
      <c r="A12" s="11" t="inlineStr">
        <is>
          <t>数据中心</t>
        </is>
      </c>
      <c r="B12" s="12" t="inlineStr"/>
      <c r="C12" s="11" t="inlineStr">
        <is>
          <t>kWh</t>
        </is>
      </c>
      <c r="D12" s="29" t="inlineStr">
        <is>
          <t>15表</t>
        </is>
      </c>
      <c r="E12" s="29" t="n">
        <v>0.5836</v>
      </c>
      <c r="F12" s="30">
        <f>IF(B12="","",B12*E12/1000)</f>
        <v/>
      </c>
      <c r="G12" s="31" t="inlineStr"/>
      <c r="H12" s="29" t="inlineStr"/>
    </row>
    <row r="13">
      <c r="A13" s="11" t="inlineStr">
        <is>
          <t>充电桩</t>
        </is>
      </c>
      <c r="B13" s="12" t="inlineStr"/>
      <c r="C13" s="11" t="inlineStr">
        <is>
          <t>kWh</t>
        </is>
      </c>
      <c r="D13" s="29" t="inlineStr">
        <is>
          <t>16表</t>
        </is>
      </c>
      <c r="E13" s="29" t="n">
        <v>0.5836</v>
      </c>
      <c r="F13" s="30">
        <f>IF(B13="","",B13*E13/1000)</f>
        <v/>
      </c>
      <c r="G13" s="31" t="inlineStr"/>
      <c r="H13" s="29" t="inlineStr"/>
    </row>
    <row r="14">
      <c r="A14" s="11" t="inlineStr">
        <is>
          <t>厨房餐饮</t>
        </is>
      </c>
      <c r="B14" s="12" t="inlineStr"/>
      <c r="C14" s="11" t="inlineStr">
        <is>
          <t>kWh</t>
        </is>
      </c>
      <c r="D14" s="29" t="inlineStr">
        <is>
          <t>17表</t>
        </is>
      </c>
      <c r="E14" s="29" t="n">
        <v>0.5836</v>
      </c>
      <c r="F14" s="30">
        <f>IF(B14="","",B14*E14/1000)</f>
        <v/>
      </c>
      <c r="G14" s="31" t="inlineStr"/>
      <c r="H14" s="29" t="inlineStr"/>
    </row>
    <row r="15">
      <c r="A15" s="11" t="inlineStr">
        <is>
          <t>供水系统</t>
        </is>
      </c>
      <c r="B15" s="12" t="inlineStr"/>
      <c r="C15" s="11" t="inlineStr">
        <is>
          <t>kWh</t>
        </is>
      </c>
      <c r="D15" s="29" t="inlineStr">
        <is>
          <t>18表</t>
        </is>
      </c>
      <c r="E15" s="29" t="n">
        <v>0.5836</v>
      </c>
      <c r="F15" s="30">
        <f>IF(B15="","",B15*E15/1000)</f>
        <v/>
      </c>
      <c r="G15" s="31" t="inlineStr"/>
      <c r="H15" s="29" t="inlineStr"/>
    </row>
    <row r="16">
      <c r="A16" s="11" t="inlineStr">
        <is>
          <t>通风系统</t>
        </is>
      </c>
      <c r="B16" s="12" t="inlineStr"/>
      <c r="C16" s="11" t="inlineStr">
        <is>
          <t>kWh</t>
        </is>
      </c>
      <c r="D16" s="29" t="inlineStr">
        <is>
          <t>19表</t>
        </is>
      </c>
      <c r="E16" s="29" t="n">
        <v>0.5836</v>
      </c>
      <c r="F16" s="30">
        <f>IF(B16="","",B16*E16/1000)</f>
        <v/>
      </c>
      <c r="G16" s="31" t="inlineStr"/>
      <c r="H16" s="29" t="inlineStr"/>
    </row>
    <row r="17">
      <c r="A17" s="32" t="inlineStr">
        <is>
          <t>电力消耗合计</t>
        </is>
      </c>
      <c r="F17" s="32">
        <f>SUM(F5:F16)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钢筋材料碳排放计算</t>
        </is>
      </c>
    </row>
    <row r="3">
      <c r="A3" s="9" t="inlineStr">
        <is>
          <t>钢筋参数</t>
        </is>
      </c>
    </row>
    <row r="4">
      <c r="A4" s="10" t="inlineStr">
        <is>
          <t>规格</t>
        </is>
      </c>
      <c r="B4" s="10" t="n">
        <v>1800</v>
      </c>
      <c r="C4" s="10" t="inlineStr">
        <is>
          <t>单位</t>
        </is>
      </c>
      <c r="D4" s="10" t="inlineStr">
        <is>
          <t>排放因子(tCO₂e/t)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HRB400</t>
        </is>
      </c>
      <c r="B5" s="12" t="n">
        <v>1200</v>
      </c>
      <c r="C5" s="13" t="inlineStr">
        <is>
          <t>t</t>
        </is>
      </c>
      <c r="D5" s="14" t="n">
        <v>2.033</v>
      </c>
      <c r="E5" s="14" t="n">
        <v>90</v>
      </c>
      <c r="F5" s="29" t="inlineStr"/>
    </row>
    <row r="6">
      <c r="A6" s="11" t="inlineStr">
        <is>
          <t>HRB500</t>
        </is>
      </c>
      <c r="B6" s="12" t="inlineStr"/>
      <c r="C6" s="13" t="inlineStr">
        <is>
          <t>t</t>
        </is>
      </c>
      <c r="D6" s="14" t="n">
        <v>2.05</v>
      </c>
      <c r="E6" s="14" t="n">
        <v>90</v>
      </c>
      <c r="F6" s="29" t="inlineStr"/>
    </row>
    <row r="7">
      <c r="A7" s="11" t="inlineStr">
        <is>
          <t>型钢</t>
        </is>
      </c>
      <c r="B7" s="12" t="inlineStr"/>
      <c r="C7" s="13" t="inlineStr">
        <is>
          <t>t</t>
        </is>
      </c>
      <c r="D7" s="14" t="n">
        <v>2.1</v>
      </c>
      <c r="E7" s="14" t="n">
        <v>95</v>
      </c>
      <c r="F7" s="29" t="inlineStr"/>
    </row>
    <row r="9">
      <c r="A9" s="20" t="inlineStr">
        <is>
          <t>钢筋总碳排放</t>
        </is>
      </c>
      <c r="B9" s="21" t="inlineStr">
        <is>
          <t>tCO₂e</t>
        </is>
      </c>
      <c r="C9" s="22">
        <f>Σ[消耗量×排放因子×(1-回收率)]</f>
        <v/>
      </c>
      <c r="D9" s="23" t="inlineStr">
        <is>
          <t>考虑回收利用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4CAF5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混凝土材料碳排放计算</t>
        </is>
      </c>
    </row>
    <row r="3">
      <c r="A3" s="15" t="inlineStr">
        <is>
          <t>混凝土参数</t>
        </is>
      </c>
    </row>
    <row r="4">
      <c r="A4" s="10" t="inlineStr">
        <is>
          <t>标号</t>
        </is>
      </c>
      <c r="B4" s="10" t="n">
        <v>6500</v>
      </c>
      <c r="C4" s="10" t="inlineStr">
        <is>
          <t>单位</t>
        </is>
      </c>
      <c r="D4" s="10" t="inlineStr">
        <is>
          <t>排放因子(tCO₂e/m³)</t>
        </is>
      </c>
      <c r="E4" s="10" t="inlineStr">
        <is>
          <t>说明</t>
        </is>
      </c>
    </row>
    <row r="5">
      <c r="A5" s="11" t="inlineStr">
        <is>
          <t>C20</t>
        </is>
      </c>
      <c r="B5" s="12" t="n">
        <v>8000</v>
      </c>
      <c r="C5" s="13" t="inlineStr">
        <is>
          <t>m³</t>
        </is>
      </c>
      <c r="D5" s="14" t="n">
        <v>0.28</v>
      </c>
      <c r="E5" s="14" t="inlineStr">
        <is>
          <t>基础/垫层</t>
        </is>
      </c>
    </row>
    <row r="6">
      <c r="A6" s="11" t="inlineStr">
        <is>
          <t>C30</t>
        </is>
      </c>
      <c r="B6" s="12" t="n">
        <v>3500</v>
      </c>
      <c r="C6" s="13" t="inlineStr">
        <is>
          <t>m³</t>
        </is>
      </c>
      <c r="D6" s="14" t="n">
        <v>0.32</v>
      </c>
      <c r="E6" s="14" t="inlineStr">
        <is>
          <t>梁板柱</t>
        </is>
      </c>
    </row>
    <row r="7">
      <c r="A7" s="11" t="inlineStr">
        <is>
          <t>C40</t>
        </is>
      </c>
      <c r="B7" s="12" t="n">
        <v>2000</v>
      </c>
      <c r="C7" s="13" t="inlineStr">
        <is>
          <t>m³</t>
        </is>
      </c>
      <c r="D7" s="14" t="n">
        <v>0.35</v>
      </c>
      <c r="E7" s="14" t="inlineStr">
        <is>
          <t>高层建筑</t>
        </is>
      </c>
    </row>
    <row r="8">
      <c r="A8" s="11" t="inlineStr">
        <is>
          <t>C50</t>
        </is>
      </c>
      <c r="B8" s="12" t="inlineStr"/>
      <c r="C8" s="13" t="inlineStr">
        <is>
          <t>m³</t>
        </is>
      </c>
      <c r="D8" s="14" t="n">
        <v>0.38</v>
      </c>
      <c r="E8" s="14" t="inlineStr">
        <is>
          <t>预应力</t>
        </is>
      </c>
    </row>
    <row r="10">
      <c r="A10" s="20" t="inlineStr">
        <is>
          <t>混凝土总碳排放</t>
        </is>
      </c>
      <c r="B10" s="21" t="inlineStr">
        <is>
          <t>tCO₂e</t>
        </is>
      </c>
      <c r="C10" s="22">
        <f>Σ(消耗量×排放因子)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F9800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围护材料碳排放计算</t>
        </is>
      </c>
    </row>
    <row r="3">
      <c r="A3" s="16" t="inlineStr">
        <is>
          <t>围护材料</t>
        </is>
      </c>
    </row>
    <row r="4">
      <c r="A4" s="10" t="inlineStr">
        <is>
          <t>材料</t>
        </is>
      </c>
      <c r="B4" s="10" t="inlineStr">
        <is>
          <t>消耗量</t>
        </is>
      </c>
      <c r="C4" s="10" t="inlineStr">
        <is>
          <t>单位</t>
        </is>
      </c>
      <c r="D4" s="10" t="inlineStr">
        <is>
          <t>排放因子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普通粘土砖</t>
        </is>
      </c>
      <c r="B5" s="12" t="inlineStr"/>
      <c r="C5" s="13" t="inlineStr">
        <is>
          <t>千块</t>
        </is>
      </c>
      <c r="D5" s="14" t="inlineStr">
        <is>
          <t>0.270 tCO₂e/千块</t>
        </is>
      </c>
      <c r="E5" s="14" t="n">
        <v>30</v>
      </c>
      <c r="F5" s="29" t="inlineStr"/>
    </row>
    <row r="6">
      <c r="A6" s="11" t="inlineStr">
        <is>
          <t>加气混凝土砌块</t>
        </is>
      </c>
      <c r="B6" s="12" t="inlineStr"/>
      <c r="C6" s="13" t="inlineStr">
        <is>
          <t>m³</t>
        </is>
      </c>
      <c r="D6" s="14" t="inlineStr">
        <is>
          <t>0.225 tCO₂e/m³</t>
        </is>
      </c>
      <c r="E6" s="14" t="n">
        <v>30</v>
      </c>
      <c r="F6" s="29" t="inlineStr"/>
    </row>
    <row r="7">
      <c r="A7" s="11" t="inlineStr">
        <is>
          <t>XPS保温板</t>
        </is>
      </c>
      <c r="B7" s="12" t="inlineStr"/>
      <c r="C7" s="13" t="inlineStr">
        <is>
          <t>m³</t>
        </is>
      </c>
      <c r="D7" s="14" t="inlineStr">
        <is>
          <t>0.095 tCO₂e/m³</t>
        </is>
      </c>
      <c r="E7" s="14" t="n">
        <v>0</v>
      </c>
      <c r="F7" s="29" t="inlineStr"/>
    </row>
    <row r="8">
      <c r="A8" s="11" t="inlineStr">
        <is>
          <t>岩棉保温板</t>
        </is>
      </c>
      <c r="B8" s="12" t="inlineStr"/>
      <c r="C8" s="13" t="inlineStr">
        <is>
          <t>m³</t>
        </is>
      </c>
      <c r="D8" s="14" t="inlineStr">
        <is>
          <t>0.075 tCO₂e/m³</t>
        </is>
      </c>
      <c r="E8" s="14" t="n">
        <v>0</v>
      </c>
      <c r="F8" s="29" t="inlineStr"/>
    </row>
    <row r="9">
      <c r="A9" s="11" t="inlineStr">
        <is>
          <t>玻璃</t>
        </is>
      </c>
      <c r="B9" s="12" t="inlineStr"/>
      <c r="C9" s="13" t="inlineStr">
        <is>
          <t>m²</t>
        </is>
      </c>
      <c r="D9" s="14" t="inlineStr">
        <is>
          <t>0.015 tCO₂e/m²</t>
        </is>
      </c>
      <c r="E9" s="14" t="n">
        <v>80</v>
      </c>
      <c r="F9" s="29" t="inlineStr"/>
    </row>
    <row r="10">
      <c r="A10" s="11" t="inlineStr">
        <is>
          <t>铝合金门窗</t>
        </is>
      </c>
      <c r="B10" s="12" t="inlineStr"/>
      <c r="C10" s="13" t="inlineStr">
        <is>
          <t>m²</t>
        </is>
      </c>
      <c r="D10" s="14" t="inlineStr">
        <is>
          <t>0.025 tCO₂e/m²</t>
        </is>
      </c>
      <c r="E10" s="14" t="n">
        <v>90</v>
      </c>
      <c r="F10" s="29" t="inlineStr"/>
    </row>
    <row r="12">
      <c r="A12" s="20" t="inlineStr">
        <is>
          <t>围护材料总碳排放</t>
        </is>
      </c>
      <c r="B12" s="21" t="inlineStr">
        <is>
          <t>tCO₂e</t>
        </is>
      </c>
      <c r="C12" s="22">
        <f>Σ[消耗量×排放因子×(1-回收率)]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9C27B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装饰材料碳排放计算</t>
        </is>
      </c>
    </row>
    <row r="3">
      <c r="A3" s="17" t="inlineStr">
        <is>
          <t>装饰材料</t>
        </is>
      </c>
    </row>
    <row r="4">
      <c r="A4" s="10" t="inlineStr">
        <is>
          <t>材料</t>
        </is>
      </c>
      <c r="B4" s="10" t="inlineStr">
        <is>
          <t>消耗量</t>
        </is>
      </c>
      <c r="C4" s="10" t="inlineStr">
        <is>
          <t>单位</t>
        </is>
      </c>
      <c r="D4" s="10" t="inlineStr">
        <is>
          <t>排放因子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花岗岩</t>
        </is>
      </c>
      <c r="B5" s="12" t="inlineStr"/>
      <c r="C5" s="13" t="inlineStr">
        <is>
          <t>m²</t>
        </is>
      </c>
      <c r="D5" s="14" t="inlineStr">
        <is>
          <t>0.038 tCO₂e/m²</t>
        </is>
      </c>
      <c r="E5" s="14" t="n">
        <v>50</v>
      </c>
      <c r="F5" s="29" t="inlineStr"/>
    </row>
    <row r="6">
      <c r="A6" s="11" t="inlineStr">
        <is>
          <t>大理石</t>
        </is>
      </c>
      <c r="B6" s="12" t="inlineStr"/>
      <c r="C6" s="13" t="inlineStr">
        <is>
          <t>m²</t>
        </is>
      </c>
      <c r="D6" s="14" t="inlineStr">
        <is>
          <t>0.035 tCO₂e/m²</t>
        </is>
      </c>
      <c r="E6" s="14" t="n">
        <v>50</v>
      </c>
      <c r="F6" s="29" t="inlineStr"/>
    </row>
    <row r="7">
      <c r="A7" s="11" t="inlineStr">
        <is>
          <t>瓷砖</t>
        </is>
      </c>
      <c r="B7" s="12" t="inlineStr"/>
      <c r="C7" s="13" t="inlineStr">
        <is>
          <t>m²</t>
        </is>
      </c>
      <c r="D7" s="14" t="inlineStr">
        <is>
          <t>0.012 tCO₂e/m²</t>
        </is>
      </c>
      <c r="E7" s="14" t="n">
        <v>30</v>
      </c>
      <c r="F7" s="29" t="inlineStr"/>
    </row>
    <row r="8">
      <c r="A8" s="11" t="inlineStr">
        <is>
          <t>实木地板</t>
        </is>
      </c>
      <c r="B8" s="12" t="inlineStr"/>
      <c r="C8" s="13" t="inlineStr">
        <is>
          <t>m²</t>
        </is>
      </c>
      <c r="D8" s="14" t="inlineStr">
        <is>
          <t>0.015 tCO₂e/m²</t>
        </is>
      </c>
      <c r="E8" s="14" t="n">
        <v>80</v>
      </c>
      <c r="F8" s="29" t="inlineStr"/>
    </row>
    <row r="9">
      <c r="A9" s="11" t="inlineStr">
        <is>
          <t>涂料</t>
        </is>
      </c>
      <c r="B9" s="12" t="inlineStr"/>
      <c r="C9" s="13" t="inlineStr">
        <is>
          <t>kg</t>
        </is>
      </c>
      <c r="D9" s="14" t="inlineStr">
        <is>
          <t>0.003 tCO₂e/kg</t>
        </is>
      </c>
      <c r="E9" s="14" t="n">
        <v>0</v>
      </c>
      <c r="F9" s="29" t="inlineStr"/>
    </row>
    <row r="10">
      <c r="A10" s="11" t="inlineStr">
        <is>
          <t>壁纸</t>
        </is>
      </c>
      <c r="B10" s="12" t="inlineStr"/>
      <c r="C10" s="13" t="inlineStr">
        <is>
          <t>m²</t>
        </is>
      </c>
      <c r="D10" s="14" t="inlineStr">
        <is>
          <t>0.0025 tCO₂e/m²</t>
        </is>
      </c>
      <c r="E10" s="14" t="n">
        <v>0</v>
      </c>
      <c r="F10" s="29" t="inlineStr"/>
    </row>
    <row r="11">
      <c r="A11" s="11" t="inlineStr">
        <is>
          <t>吊顶铝扣板</t>
        </is>
      </c>
      <c r="B11" s="12" t="inlineStr"/>
      <c r="C11" s="13" t="inlineStr">
        <is>
          <t>m²</t>
        </is>
      </c>
      <c r="D11" s="14" t="inlineStr">
        <is>
          <t>0.018 tCO₂e/m²</t>
        </is>
      </c>
      <c r="E11" s="14" t="n">
        <v>90</v>
      </c>
      <c r="F11" s="29" t="inlineStr"/>
    </row>
    <row r="13">
      <c r="A13" s="20" t="inlineStr">
        <is>
          <t>装饰材料总碳排放</t>
        </is>
      </c>
      <c r="B13" s="21" t="inlineStr">
        <is>
          <t>tCO₂e</t>
        </is>
      </c>
      <c r="C13" s="22">
        <f>Σ[消耗量×排放因子×(1-回收率)]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F4433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安装材料碳排放计算</t>
        </is>
      </c>
    </row>
    <row r="3">
      <c r="A3" s="18" t="inlineStr">
        <is>
          <t>安装材料</t>
        </is>
      </c>
    </row>
    <row r="4">
      <c r="A4" s="10" t="inlineStr">
        <is>
          <t>材料</t>
        </is>
      </c>
      <c r="B4" s="10" t="inlineStr">
        <is>
          <t>消耗量</t>
        </is>
      </c>
      <c r="C4" s="10" t="inlineStr">
        <is>
          <t>单位</t>
        </is>
      </c>
      <c r="D4" s="10" t="inlineStr">
        <is>
          <t>排放因子</t>
        </is>
      </c>
      <c r="E4" s="10" t="inlineStr">
        <is>
          <t>回收率(%)</t>
        </is>
      </c>
      <c r="F4" s="10" t="inlineStr">
        <is>
          <t>净碳排放</t>
        </is>
      </c>
    </row>
    <row r="5">
      <c r="A5" s="11" t="inlineStr">
        <is>
          <t>电缆</t>
        </is>
      </c>
      <c r="B5" s="12" t="inlineStr"/>
      <c r="C5" s="13" t="inlineStr">
        <is>
          <t>m</t>
        </is>
      </c>
      <c r="D5" s="14" t="inlineStr">
        <is>
          <t>0.002 tCO₂e/m</t>
        </is>
      </c>
      <c r="E5" s="14" t="n">
        <v>95</v>
      </c>
      <c r="F5" s="29" t="inlineStr"/>
    </row>
    <row r="6">
      <c r="A6" s="11" t="inlineStr">
        <is>
          <t>钢管</t>
        </is>
      </c>
      <c r="B6" s="12" t="inlineStr"/>
      <c r="C6" s="13" t="inlineStr">
        <is>
          <t>t</t>
        </is>
      </c>
      <c r="D6" s="14" t="inlineStr">
        <is>
          <t>2.100 tCO₂e/t</t>
        </is>
      </c>
      <c r="E6" s="14" t="n">
        <v>95</v>
      </c>
      <c r="F6" s="29" t="inlineStr"/>
    </row>
    <row r="7">
      <c r="A7" s="11" t="inlineStr">
        <is>
          <t>PPR管材</t>
        </is>
      </c>
      <c r="B7" s="12" t="inlineStr"/>
      <c r="C7" s="13" t="inlineStr">
        <is>
          <t>m</t>
        </is>
      </c>
      <c r="D7" s="14" t="inlineStr">
        <is>
          <t>0.0008 tCO₂e/m</t>
        </is>
      </c>
      <c r="E7" s="14" t="n">
        <v>50</v>
      </c>
      <c r="F7" s="29" t="inlineStr"/>
    </row>
    <row r="8">
      <c r="A8" s="11" t="inlineStr">
        <is>
          <t>风管</t>
        </is>
      </c>
      <c r="B8" s="12" t="inlineStr"/>
      <c r="C8" s="13" t="inlineStr">
        <is>
          <t>m²</t>
        </is>
      </c>
      <c r="D8" s="14" t="inlineStr">
        <is>
          <t>0.012 tCO₂e/m²</t>
        </is>
      </c>
      <c r="E8" s="14" t="n">
        <v>95</v>
      </c>
      <c r="F8" s="29" t="inlineStr"/>
    </row>
    <row r="9">
      <c r="A9" s="11" t="inlineStr">
        <is>
          <t>配电箱</t>
        </is>
      </c>
      <c r="B9" s="12" t="inlineStr"/>
      <c r="C9" s="13" t="inlineStr">
        <is>
          <t>台</t>
        </is>
      </c>
      <c r="D9" s="14" t="inlineStr">
        <is>
          <t>0.150 tCO₂e/台</t>
        </is>
      </c>
      <c r="E9" s="14" t="n">
        <v>90</v>
      </c>
      <c r="F9" s="29" t="inlineStr"/>
    </row>
    <row r="11">
      <c r="A11" s="20" t="inlineStr">
        <is>
          <t>安装材料总碳排放</t>
        </is>
      </c>
      <c r="B11" s="21" t="inlineStr">
        <is>
          <t>tCO₂e</t>
        </is>
      </c>
      <c r="C11" s="22">
        <f>Σ[消耗量×排放因子×(1-回收率)]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00BCD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建材运输碳排放计算</t>
        </is>
      </c>
    </row>
    <row r="3">
      <c r="A3" s="19" t="inlineStr">
        <is>
          <t>运输参数</t>
        </is>
      </c>
    </row>
    <row r="4">
      <c r="A4" s="10" t="inlineStr">
        <is>
          <t>建材</t>
        </is>
      </c>
      <c r="B4" s="10" t="inlineStr">
        <is>
          <t>运输量(t)</t>
        </is>
      </c>
      <c r="C4" s="10" t="inlineStr">
        <is>
          <t>距离(km)</t>
        </is>
      </c>
      <c r="D4" s="10" t="inlineStr">
        <is>
          <t>运输方式</t>
        </is>
      </c>
      <c r="E4" s="10" t="inlineStr">
        <is>
          <t>排放因子</t>
        </is>
      </c>
      <c r="F4" s="10" t="inlineStr">
        <is>
          <t>碳排放量</t>
        </is>
      </c>
    </row>
    <row r="5">
      <c r="A5" s="11" t="inlineStr">
        <is>
          <t>钢筋</t>
        </is>
      </c>
      <c r="B5" s="12" t="inlineStr"/>
      <c r="C5" s="13" t="inlineStr"/>
      <c r="D5" s="14" t="inlineStr">
        <is>
          <t>公路重载</t>
        </is>
      </c>
      <c r="E5" s="14" t="n">
        <v>0.0697</v>
      </c>
      <c r="F5" s="29" t="inlineStr"/>
    </row>
    <row r="6">
      <c r="A6" s="11" t="inlineStr">
        <is>
          <t>混凝土</t>
        </is>
      </c>
      <c r="B6" s="12" t="inlineStr"/>
      <c r="C6" s="13" t="n">
        <v>3000</v>
      </c>
      <c r="D6" s="14" t="n">
        <v>150</v>
      </c>
      <c r="E6" s="14" t="n">
        <v>0.0712</v>
      </c>
      <c r="F6" s="29" t="inlineStr"/>
    </row>
    <row r="7">
      <c r="A7" s="11" t="inlineStr">
        <is>
          <t>砌块</t>
        </is>
      </c>
      <c r="B7" s="12" t="inlineStr"/>
      <c r="C7" s="13" t="n">
        <v>14500</v>
      </c>
      <c r="D7" s="14" t="n">
        <v>50</v>
      </c>
      <c r="E7" s="14" t="n">
        <v>0.0658</v>
      </c>
      <c r="F7" s="29" t="inlineStr"/>
    </row>
    <row r="8">
      <c r="A8" s="11" t="inlineStr">
        <is>
          <t>玻璃</t>
        </is>
      </c>
      <c r="B8" s="12" t="inlineStr"/>
      <c r="C8" s="13" t="n">
        <v>6500</v>
      </c>
      <c r="D8" s="14" t="n">
        <v>120</v>
      </c>
      <c r="E8" s="14" t="n">
        <v>0.0697</v>
      </c>
      <c r="F8" s="29" t="inlineStr"/>
    </row>
    <row r="9">
      <c r="A9" s="11" t="inlineStr">
        <is>
          <t>石材</t>
        </is>
      </c>
      <c r="B9" s="12" t="inlineStr"/>
      <c r="C9" s="13" t="n">
        <v>2000</v>
      </c>
      <c r="D9" s="14" t="n">
        <v>200</v>
      </c>
      <c r="E9" s="14" t="n">
        <v>0.0697</v>
      </c>
      <c r="F9" s="29" t="inlineStr"/>
    </row>
    <row r="10">
      <c r="C10" t="n">
        <v>8000</v>
      </c>
      <c r="D10" t="n">
        <v>80</v>
      </c>
    </row>
    <row r="11">
      <c r="A11" s="20" t="inlineStr">
        <is>
          <t>建材运输总碳排放</t>
        </is>
      </c>
      <c r="B11" s="21" t="inlineStr">
        <is>
          <t>tCO₂e</t>
        </is>
      </c>
      <c r="C11" s="22">
        <f>Σ(运输量×距离×排放因子)</f>
        <v/>
      </c>
      <c r="D11" s="23">
        <f>量×距×因子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95548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土方工程碳排放计算</t>
        </is>
      </c>
    </row>
    <row r="3">
      <c r="A3" s="24" t="inlineStr">
        <is>
          <t>土方参数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土方开挖</t>
        </is>
      </c>
      <c r="B5" s="12" t="inlineStr"/>
      <c r="C5" s="13" t="inlineStr">
        <is>
          <t>m³</t>
        </is>
      </c>
      <c r="D5" s="14" t="n">
        <v>5.5</v>
      </c>
      <c r="E5" s="14" t="inlineStr"/>
    </row>
    <row r="6">
      <c r="A6" s="11" t="inlineStr">
        <is>
          <t>土方回填</t>
        </is>
      </c>
      <c r="B6" s="12" t="inlineStr"/>
      <c r="C6" s="13" t="inlineStr">
        <is>
          <t>m³</t>
        </is>
      </c>
      <c r="D6" s="14" t="n">
        <v>3.2</v>
      </c>
      <c r="E6" s="14" t="inlineStr"/>
    </row>
    <row r="7">
      <c r="A7" s="11" t="inlineStr">
        <is>
          <t>土方外运</t>
        </is>
      </c>
      <c r="B7" s="12" t="inlineStr"/>
      <c r="C7" s="13" t="inlineStr">
        <is>
          <t>m³</t>
        </is>
      </c>
      <c r="D7" s="14" t="n">
        <v>4.8</v>
      </c>
      <c r="E7" s="14" t="inlineStr"/>
    </row>
    <row r="9">
      <c r="A9" s="20" t="inlineStr">
        <is>
          <t>土方工程碳排放</t>
        </is>
      </c>
      <c r="B9" s="21" t="inlineStr">
        <is>
          <t>tCO₂e</t>
        </is>
      </c>
      <c r="C9" s="22">
        <f>Σ(工程量×能耗系数×排放因子)</f>
        <v/>
      </c>
      <c r="D9" s="23" t="inlineStr">
        <is>
          <t>排放因子=0.5836 kgCO₂/kWh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607D8B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结构工程碳排放计算</t>
        </is>
      </c>
    </row>
    <row r="3">
      <c r="A3" s="25" t="inlineStr">
        <is>
          <t>结构工程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基础混凝土</t>
        </is>
      </c>
      <c r="B5" s="12" t="inlineStr"/>
      <c r="C5" s="13" t="inlineStr">
        <is>
          <t>m³</t>
        </is>
      </c>
      <c r="D5" s="14" t="n">
        <v>35</v>
      </c>
      <c r="E5" s="14" t="inlineStr"/>
    </row>
    <row r="6">
      <c r="A6" s="11" t="inlineStr">
        <is>
          <t>柱梁板混凝土</t>
        </is>
      </c>
      <c r="B6" s="12" t="inlineStr"/>
      <c r="C6" s="13" t="inlineStr">
        <is>
          <t>m³</t>
        </is>
      </c>
      <c r="D6" s="14" t="n">
        <v>40</v>
      </c>
      <c r="E6" s="14" t="inlineStr"/>
    </row>
    <row r="7">
      <c r="A7" s="11" t="inlineStr">
        <is>
          <t>墙体混凝土</t>
        </is>
      </c>
      <c r="B7" s="12" t="inlineStr"/>
      <c r="C7" s="13" t="inlineStr">
        <is>
          <t>m³</t>
        </is>
      </c>
      <c r="D7" s="14" t="n">
        <v>38</v>
      </c>
      <c r="E7" s="14" t="inlineStr"/>
    </row>
    <row r="8">
      <c r="A8" s="11" t="inlineStr">
        <is>
          <t>钢筋制作安装</t>
        </is>
      </c>
      <c r="B8" s="12" t="inlineStr"/>
      <c r="C8" s="13" t="inlineStr">
        <is>
          <t>t</t>
        </is>
      </c>
      <c r="D8" s="14" t="n">
        <v>120</v>
      </c>
      <c r="E8" s="14" t="inlineStr"/>
    </row>
    <row r="9">
      <c r="A9" s="11" t="inlineStr">
        <is>
          <t>钢结构安装</t>
        </is>
      </c>
      <c r="B9" s="12" t="inlineStr"/>
      <c r="C9" s="13" t="inlineStr">
        <is>
          <t>t</t>
        </is>
      </c>
      <c r="D9" s="14" t="n">
        <v>150</v>
      </c>
      <c r="E9" s="14" t="inlineStr"/>
    </row>
    <row r="11">
      <c r="A11" s="20" t="inlineStr">
        <is>
          <t>结构工程碳排放</t>
        </is>
      </c>
      <c r="B11" s="21" t="inlineStr">
        <is>
          <t>tCO₂e</t>
        </is>
      </c>
      <c r="C11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E91E63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装饰装修工程碳排放计算</t>
        </is>
      </c>
    </row>
    <row r="3">
      <c r="A3" s="9" t="inlineStr">
        <is>
          <t>装饰工程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砌体工程</t>
        </is>
      </c>
      <c r="B5" s="12" t="inlineStr"/>
      <c r="C5" s="13" t="inlineStr">
        <is>
          <t>m³</t>
        </is>
      </c>
      <c r="D5" s="14" t="n">
        <v>15</v>
      </c>
      <c r="E5" s="14" t="inlineStr"/>
    </row>
    <row r="6">
      <c r="A6" s="11" t="inlineStr">
        <is>
          <t>外墙保温</t>
        </is>
      </c>
      <c r="B6" s="12" t="inlineStr"/>
      <c r="C6" s="13" t="inlineStr">
        <is>
          <t>m²</t>
        </is>
      </c>
      <c r="D6" s="14" t="n">
        <v>2.5</v>
      </c>
      <c r="E6" s="14" t="inlineStr"/>
    </row>
    <row r="7">
      <c r="A7" s="11" t="inlineStr">
        <is>
          <t>内墙装饰</t>
        </is>
      </c>
      <c r="B7" s="12" t="inlineStr"/>
      <c r="C7" s="13" t="inlineStr">
        <is>
          <t>m²</t>
        </is>
      </c>
      <c r="D7" s="14" t="n">
        <v>1.8</v>
      </c>
      <c r="E7" s="14" t="inlineStr"/>
    </row>
    <row r="8">
      <c r="A8" s="11" t="inlineStr">
        <is>
          <t>楼地面工程</t>
        </is>
      </c>
      <c r="B8" s="12" t="inlineStr"/>
      <c r="C8" s="13" t="inlineStr">
        <is>
          <t>m²</t>
        </is>
      </c>
      <c r="D8" s="14" t="n">
        <v>2.2</v>
      </c>
      <c r="E8" s="14" t="inlineStr"/>
    </row>
    <row r="9">
      <c r="A9" s="11" t="inlineStr">
        <is>
          <t>门窗安装</t>
        </is>
      </c>
      <c r="B9" s="12" t="inlineStr"/>
      <c r="C9" s="13" t="inlineStr">
        <is>
          <t>m²</t>
        </is>
      </c>
      <c r="D9" s="14" t="n">
        <v>1.5</v>
      </c>
      <c r="E9" s="14" t="inlineStr"/>
    </row>
    <row r="11">
      <c r="A11" s="20" t="inlineStr">
        <is>
          <t>装饰装修碳排放</t>
        </is>
      </c>
      <c r="B11" s="21" t="inlineStr">
        <is>
          <t>tCO₂e</t>
        </is>
      </c>
      <c r="C11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3F51B5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机电安装工程碳排放计算</t>
        </is>
      </c>
    </row>
    <row r="3">
      <c r="A3" s="15" t="inlineStr">
        <is>
          <t>机电安装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给排水系统</t>
        </is>
      </c>
      <c r="B5" s="12" t="inlineStr"/>
      <c r="C5" s="13" t="inlineStr">
        <is>
          <t>项</t>
        </is>
      </c>
      <c r="D5" s="14" t="n">
        <v>5000</v>
      </c>
      <c r="E5" s="14" t="inlineStr"/>
    </row>
    <row r="6">
      <c r="A6" s="11" t="inlineStr">
        <is>
          <t>电气系统</t>
        </is>
      </c>
      <c r="B6" s="12" t="inlineStr"/>
      <c r="C6" s="13" t="inlineStr">
        <is>
          <t>项</t>
        </is>
      </c>
      <c r="D6" s="14" t="n">
        <v>8000</v>
      </c>
      <c r="E6" s="14" t="inlineStr"/>
    </row>
    <row r="7">
      <c r="A7" s="11" t="inlineStr">
        <is>
          <t>暖通系统</t>
        </is>
      </c>
      <c r="B7" s="12" t="inlineStr"/>
      <c r="C7" s="13" t="inlineStr">
        <is>
          <t>项</t>
        </is>
      </c>
      <c r="D7" s="14" t="n">
        <v>12000</v>
      </c>
      <c r="E7" s="14" t="inlineStr"/>
    </row>
    <row r="8">
      <c r="A8" s="11" t="inlineStr">
        <is>
          <t>消防系统</t>
        </is>
      </c>
      <c r="B8" s="12" t="inlineStr"/>
      <c r="C8" s="13" t="inlineStr">
        <is>
          <t>项</t>
        </is>
      </c>
      <c r="D8" s="14" t="n">
        <v>3000</v>
      </c>
      <c r="E8" s="14" t="inlineStr"/>
    </row>
    <row r="9">
      <c r="A9" s="11" t="inlineStr">
        <is>
          <t>智能化系统</t>
        </is>
      </c>
      <c r="B9" s="12" t="inlineStr"/>
      <c r="C9" s="13" t="inlineStr">
        <is>
          <t>项</t>
        </is>
      </c>
      <c r="D9" s="14" t="n">
        <v>4000</v>
      </c>
      <c r="E9" s="14" t="inlineStr"/>
    </row>
    <row r="11">
      <c r="A11" s="20" t="inlineStr">
        <is>
          <t>机电安装碳排放</t>
        </is>
      </c>
      <c r="B11" s="21" t="inlineStr">
        <is>
          <t>tCO₂e</t>
        </is>
      </c>
      <c r="C11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FF5722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拆除工程碳排放计算</t>
        </is>
      </c>
    </row>
    <row r="3">
      <c r="A3" s="16" t="inlineStr">
        <is>
          <t>拆除参数</t>
        </is>
      </c>
    </row>
    <row r="4">
      <c r="A4" s="10" t="inlineStr">
        <is>
          <t>项目</t>
        </is>
      </c>
      <c r="B4" s="10" t="inlineStr">
        <is>
          <t>工程量</t>
        </is>
      </c>
      <c r="C4" s="10" t="inlineStr">
        <is>
          <t>单位</t>
        </is>
      </c>
      <c r="D4" s="10" t="inlineStr">
        <is>
          <t>能耗系数(kWh/单位)</t>
        </is>
      </c>
      <c r="E4" s="10" t="inlineStr">
        <is>
          <t>碳排放(kgCO₂)</t>
        </is>
      </c>
    </row>
    <row r="5">
      <c r="A5" s="11" t="inlineStr">
        <is>
          <t>人工拆除墙体</t>
        </is>
      </c>
      <c r="B5" s="12" t="inlineStr"/>
      <c r="C5" s="13" t="inlineStr">
        <is>
          <t>m²</t>
        </is>
      </c>
      <c r="D5" s="14" t="n">
        <v>8</v>
      </c>
      <c r="E5" s="14" t="inlineStr"/>
    </row>
    <row r="6">
      <c r="A6" s="11" t="inlineStr">
        <is>
          <t>机械拆除主体</t>
        </is>
      </c>
      <c r="B6" s="12" t="inlineStr"/>
      <c r="C6" s="13" t="inlineStr">
        <is>
          <t>m²</t>
        </is>
      </c>
      <c r="D6" s="14" t="n">
        <v>25</v>
      </c>
      <c r="E6" s="14" t="inlineStr"/>
    </row>
    <row r="7">
      <c r="A7" s="11" t="inlineStr">
        <is>
          <t>垃圾外运</t>
        </is>
      </c>
      <c r="B7" s="12" t="inlineStr"/>
      <c r="C7" s="13" t="inlineStr">
        <is>
          <t>t</t>
        </is>
      </c>
      <c r="D7" s="14" t="n">
        <v>15</v>
      </c>
      <c r="E7" s="14" t="inlineStr"/>
    </row>
    <row r="8">
      <c r="A8" s="11" t="inlineStr">
        <is>
          <t>垃圾分拣</t>
        </is>
      </c>
      <c r="B8" s="12" t="inlineStr"/>
      <c r="C8" s="13" t="inlineStr">
        <is>
          <t>t</t>
        </is>
      </c>
      <c r="D8" s="14" t="n">
        <v>5</v>
      </c>
      <c r="E8" s="14" t="inlineStr"/>
    </row>
    <row r="10">
      <c r="A10" s="20" t="inlineStr">
        <is>
          <t>拆除工程碳排放</t>
        </is>
      </c>
      <c r="B10" s="21" t="inlineStr">
        <is>
          <t>tCO₂e</t>
        </is>
      </c>
      <c r="C10" s="22">
        <f>Σ(工程量×能耗系数×排放因子)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009688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水资源与废弃物碳排放计算</t>
        </is>
      </c>
    </row>
    <row r="3">
      <c r="A3" s="17" t="inlineStr">
        <is>
          <t>水资源</t>
        </is>
      </c>
    </row>
    <row r="4">
      <c r="A4" s="10" t="inlineStr">
        <is>
          <t>用水类型</t>
        </is>
      </c>
      <c r="B4" s="10" t="inlineStr">
        <is>
          <t>年用水量(m³)</t>
        </is>
      </c>
      <c r="C4" s="10" t="inlineStr">
        <is>
          <t>供水能耗(kWh/m³)</t>
        </is>
      </c>
      <c r="D4" s="10" t="inlineStr">
        <is>
          <t>碳排放(tCO₂)</t>
        </is>
      </c>
      <c r="E4" s="10" t="inlineStr">
        <is>
          <t>备注</t>
        </is>
      </c>
    </row>
    <row r="5">
      <c r="A5" s="11" t="inlineStr">
        <is>
          <t>生活用水</t>
        </is>
      </c>
      <c r="B5" s="12" t="inlineStr"/>
      <c r="C5" s="13" t="n">
        <v>0.35</v>
      </c>
      <c r="D5" s="14" t="inlineStr"/>
      <c r="E5" s="14" t="inlineStr"/>
    </row>
    <row r="6">
      <c r="A6" s="11" t="inlineStr">
        <is>
          <t>空调补水</t>
        </is>
      </c>
      <c r="B6" s="12" t="inlineStr"/>
      <c r="C6" s="13" t="n">
        <v>0.35</v>
      </c>
      <c r="D6" s="14" t="inlineStr"/>
      <c r="E6" s="14" t="inlineStr"/>
    </row>
    <row r="7">
      <c r="A7" s="11" t="inlineStr">
        <is>
          <t>绿化灌溉</t>
        </is>
      </c>
      <c r="B7" s="12" t="inlineStr"/>
      <c r="C7" s="13" t="n">
        <v>0.35</v>
      </c>
      <c r="D7" s="14" t="inlineStr"/>
      <c r="E7" s="14" t="inlineStr"/>
    </row>
    <row r="10">
      <c r="A10" s="18" t="inlineStr">
        <is>
          <t>废弃物</t>
        </is>
      </c>
    </row>
    <row r="11">
      <c r="A11" s="10" t="inlineStr">
        <is>
          <t>废弃物类型</t>
        </is>
      </c>
      <c r="B11" s="10" t="inlineStr">
        <is>
          <t>年产生量(t)</t>
        </is>
      </c>
      <c r="C11" s="10" t="inlineStr">
        <is>
          <t>处理排放因子(kgCO₂/t)</t>
        </is>
      </c>
      <c r="D11" s="10" t="inlineStr">
        <is>
          <t>碳排放(tCO₂)</t>
        </is>
      </c>
      <c r="E11" s="10" t="inlineStr">
        <is>
          <t>备注</t>
        </is>
      </c>
    </row>
    <row r="12">
      <c r="A12" s="11" t="inlineStr">
        <is>
          <t>生活垃圾填埋</t>
        </is>
      </c>
      <c r="B12" s="12" t="inlineStr"/>
      <c r="C12" s="13" t="n">
        <v>350</v>
      </c>
      <c r="D12" s="14" t="inlineStr"/>
      <c r="E12" s="14" t="inlineStr"/>
    </row>
    <row r="13">
      <c r="A13" s="11" t="inlineStr">
        <is>
          <t>餐厨垃圾</t>
        </is>
      </c>
      <c r="B13" s="12" t="inlineStr"/>
      <c r="C13" s="13" t="n">
        <v>-80</v>
      </c>
      <c r="D13" s="14" t="inlineStr"/>
      <c r="E13" s="14" t="inlineStr">
        <is>
          <t>负值=减碳</t>
        </is>
      </c>
    </row>
    <row r="14">
      <c r="A14" s="11" t="inlineStr">
        <is>
          <t>可回收物</t>
        </is>
      </c>
      <c r="B14" s="12" t="inlineStr"/>
      <c r="C14" s="13" t="n">
        <v>-800</v>
      </c>
      <c r="D14" s="14" t="inlineStr"/>
      <c r="E14" s="14" t="inlineStr">
        <is>
          <t>负值=减碳</t>
        </is>
      </c>
    </row>
    <row r="15">
      <c r="A15" s="11" t="inlineStr">
        <is>
          <t>建筑垃圾</t>
        </is>
      </c>
      <c r="B15" s="12" t="inlineStr"/>
      <c r="C15" s="13" t="n">
        <v>15</v>
      </c>
      <c r="D15" s="14" t="inlineStr"/>
      <c r="E15" s="14" t="inlineStr"/>
    </row>
    <row r="17">
      <c r="A17" s="20" t="inlineStr">
        <is>
          <t>水资源与废弃物总碳排放</t>
        </is>
      </c>
      <c r="B17" s="21" t="inlineStr">
        <is>
          <t>tCO₂e</t>
        </is>
      </c>
      <c r="C17" s="22">
        <f>水碳排放+废弃物碳排放</f>
        <v/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8BC34A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绿地碳汇计算</t>
        </is>
      </c>
    </row>
    <row r="3">
      <c r="A3" s="19" t="inlineStr">
        <is>
          <t>碳汇参数</t>
        </is>
      </c>
    </row>
    <row r="4">
      <c r="A4" s="10" t="inlineStr">
        <is>
          <t>碳汇类型</t>
        </is>
      </c>
      <c r="B4" s="10" t="n">
        <v>4500</v>
      </c>
      <c r="C4" s="10" t="inlineStr">
        <is>
          <t>碳汇系数[kgCO₂/(m²·a)]</t>
        </is>
      </c>
      <c r="D4" s="10" t="inlineStr">
        <is>
          <t>年碳汇量(tCO₂)</t>
        </is>
      </c>
      <c r="E4" s="10" t="inlineStr">
        <is>
          <t>说明</t>
        </is>
      </c>
    </row>
    <row r="5">
      <c r="A5" s="11" t="inlineStr">
        <is>
          <t>乔木绿地</t>
        </is>
      </c>
      <c r="B5" s="12" t="n">
        <v>2800</v>
      </c>
      <c r="C5" s="13" t="n">
        <v>2.5</v>
      </c>
      <c r="D5" s="14" t="inlineStr"/>
      <c r="E5" s="14" t="inlineStr"/>
    </row>
    <row r="6">
      <c r="A6" s="11" t="inlineStr">
        <is>
          <t>灌木绿地</t>
        </is>
      </c>
      <c r="B6" s="12" t="n">
        <v>1200</v>
      </c>
      <c r="C6" s="13" t="n">
        <v>1.2</v>
      </c>
      <c r="D6" s="14" t="inlineStr"/>
      <c r="E6" s="14" t="inlineStr"/>
    </row>
    <row r="7">
      <c r="A7" s="11" t="inlineStr">
        <is>
          <t>草坪</t>
        </is>
      </c>
      <c r="B7" s="12" t="n">
        <v>2000</v>
      </c>
      <c r="C7" s="13" t="n">
        <v>0.5</v>
      </c>
      <c r="D7" s="14" t="inlineStr"/>
      <c r="E7" s="14" t="inlineStr"/>
    </row>
    <row r="8">
      <c r="A8" s="11" t="inlineStr">
        <is>
          <t>屋顶绿化</t>
        </is>
      </c>
      <c r="B8" s="12" t="n">
        <v>500</v>
      </c>
      <c r="C8" s="13" t="n">
        <v>1.8</v>
      </c>
      <c r="D8" s="14" t="inlineStr"/>
      <c r="E8" s="14" t="inlineStr"/>
    </row>
    <row r="9">
      <c r="A9" s="11" t="inlineStr">
        <is>
          <t>垂直绿化</t>
        </is>
      </c>
      <c r="B9" s="12" t="inlineStr"/>
      <c r="C9" s="13" t="n">
        <v>1.5</v>
      </c>
      <c r="D9" s="14" t="inlineStr"/>
      <c r="E9" s="14" t="inlineStr"/>
    </row>
    <row r="11">
      <c r="A11" s="20" t="inlineStr">
        <is>
          <t>建筑年碳汇总计</t>
        </is>
      </c>
      <c r="B11" s="21" t="inlineStr">
        <is>
          <t>tCO₂</t>
        </is>
      </c>
      <c r="C11" s="22">
        <f>Σ(面积×碳汇系数)</f>
        <v/>
      </c>
      <c r="D11" s="23" t="inlineStr">
        <is>
          <t>负值（减碳项）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FFC107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家具设备隐含碳排放</t>
        </is>
      </c>
    </row>
    <row r="3">
      <c r="A3" s="24" t="inlineStr">
        <is>
          <t>设备家具</t>
        </is>
      </c>
    </row>
    <row r="4">
      <c r="A4" s="10" t="inlineStr">
        <is>
          <t>资产类别</t>
        </is>
      </c>
      <c r="B4" s="10" t="inlineStr">
        <is>
          <t>数量</t>
        </is>
      </c>
      <c r="C4" s="10" t="inlineStr">
        <is>
          <t>单位</t>
        </is>
      </c>
      <c r="D4" s="10" t="inlineStr">
        <is>
          <t>碳排放因子</t>
        </is>
      </c>
      <c r="E4" s="10" t="inlineStr">
        <is>
          <t>使用寿命(年)</t>
        </is>
      </c>
      <c r="F4" s="10" t="inlineStr">
        <is>
          <t>年碳排放</t>
        </is>
      </c>
    </row>
    <row r="5">
      <c r="A5" s="11" t="inlineStr">
        <is>
          <t>办公桌</t>
        </is>
      </c>
      <c r="B5" s="12" t="inlineStr"/>
      <c r="C5" s="13" t="inlineStr">
        <is>
          <t>套</t>
        </is>
      </c>
      <c r="D5" s="14" t="inlineStr">
        <is>
          <t>85 kgCO₂e/套</t>
        </is>
      </c>
      <c r="E5" s="14" t="n">
        <v>10</v>
      </c>
      <c r="F5" s="29" t="inlineStr"/>
    </row>
    <row r="6">
      <c r="A6" s="11" t="inlineStr">
        <is>
          <t>电脑</t>
        </is>
      </c>
      <c r="B6" s="12" t="inlineStr"/>
      <c r="C6" s="13" t="inlineStr">
        <is>
          <t>台</t>
        </is>
      </c>
      <c r="D6" s="14" t="inlineStr">
        <is>
          <t>250 kgCO₂e/台</t>
        </is>
      </c>
      <c r="E6" s="14" t="n">
        <v>5</v>
      </c>
      <c r="F6" s="29" t="inlineStr"/>
    </row>
    <row r="7">
      <c r="A7" s="11" t="inlineStr">
        <is>
          <t>打印机</t>
        </is>
      </c>
      <c r="B7" s="12" t="inlineStr"/>
      <c r="C7" s="13" t="inlineStr">
        <is>
          <t>台</t>
        </is>
      </c>
      <c r="D7" s="14" t="inlineStr">
        <is>
          <t>350 kgCO₂e/台</t>
        </is>
      </c>
      <c r="E7" s="14" t="n">
        <v>7</v>
      </c>
      <c r="F7" s="29" t="inlineStr"/>
    </row>
    <row r="8">
      <c r="A8" s="11" t="inlineStr">
        <is>
          <t>空调</t>
        </is>
      </c>
      <c r="B8" s="12" t="inlineStr"/>
      <c r="C8" s="13" t="inlineStr">
        <is>
          <t>台</t>
        </is>
      </c>
      <c r="D8" s="14" t="inlineStr">
        <is>
          <t>450 kgCO₂e/台</t>
        </is>
      </c>
      <c r="E8" s="14" t="n">
        <v>10</v>
      </c>
      <c r="F8" s="29" t="inlineStr"/>
    </row>
    <row r="10">
      <c r="A10" s="20" t="inlineStr">
        <is>
          <t>隐含碳年化排放</t>
        </is>
      </c>
      <c r="B10" s="21" t="inlineStr">
        <is>
          <t>tCO₂e/a</t>
        </is>
      </c>
      <c r="C10" s="22">
        <f>Σ(数量×排放因子/使用寿命)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F44336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全生命周期碳排放汇总</t>
        </is>
      </c>
    </row>
    <row r="3">
      <c r="A3" s="28" t="inlineStr">
        <is>
          <t>全生命周期碳排放汇总</t>
        </is>
      </c>
    </row>
    <row r="4">
      <c r="A4" s="10" t="inlineStr">
        <is>
          <t>排放阶段</t>
        </is>
      </c>
      <c r="B4" s="10" t="inlineStr">
        <is>
          <t>碳排放量(tCO₂e)</t>
        </is>
      </c>
      <c r="C4" s="10" t="inlineStr">
        <is>
          <t>单位面积(kgCO₂e/m²)</t>
        </is>
      </c>
      <c r="D4" s="10" t="inlineStr">
        <is>
          <t>占比(%)</t>
        </is>
      </c>
      <c r="E4" s="10" t="inlineStr">
        <is>
          <t>来源工作表</t>
        </is>
      </c>
      <c r="F4" s="10" t="inlineStr">
        <is>
          <t>备注</t>
        </is>
      </c>
    </row>
    <row r="5">
      <c r="A5" s="29" t="inlineStr">
        <is>
          <t>建材生产阶段</t>
        </is>
      </c>
      <c r="B5" s="11" t="inlineStr"/>
      <c r="C5" s="11" t="inlineStr"/>
      <c r="D5" s="11" t="inlineStr"/>
      <c r="E5" s="29" t="inlineStr">
        <is>
          <t>24-28表</t>
        </is>
      </c>
      <c r="F5" s="29" t="inlineStr"/>
    </row>
    <row r="6">
      <c r="A6" s="29" t="inlineStr">
        <is>
          <t>建材运输阶段</t>
        </is>
      </c>
      <c r="B6" s="11" t="inlineStr"/>
      <c r="C6" s="11" t="inlineStr"/>
      <c r="D6" s="11" t="inlineStr"/>
      <c r="E6" s="29" t="inlineStr">
        <is>
          <t>29表</t>
        </is>
      </c>
      <c r="F6" s="29" t="inlineStr"/>
    </row>
    <row r="7">
      <c r="A7" s="29" t="inlineStr">
        <is>
          <t>土方工程</t>
        </is>
      </c>
      <c r="B7" s="11" t="inlineStr"/>
      <c r="C7" s="11" t="inlineStr"/>
      <c r="D7" s="11" t="inlineStr"/>
      <c r="E7" s="29" t="inlineStr">
        <is>
          <t>30表</t>
        </is>
      </c>
      <c r="F7" s="29" t="inlineStr"/>
    </row>
    <row r="8">
      <c r="A8" s="29" t="inlineStr">
        <is>
          <t>结构工程</t>
        </is>
      </c>
      <c r="B8" s="11" t="inlineStr"/>
      <c r="C8" s="11" t="inlineStr"/>
      <c r="D8" s="11" t="inlineStr"/>
      <c r="E8" s="29" t="inlineStr">
        <is>
          <t>31表</t>
        </is>
      </c>
      <c r="F8" s="29" t="inlineStr"/>
    </row>
    <row r="9">
      <c r="A9" s="29" t="inlineStr">
        <is>
          <t>装饰装修</t>
        </is>
      </c>
      <c r="B9" s="11" t="inlineStr"/>
      <c r="C9" s="11" t="inlineStr"/>
      <c r="D9" s="11" t="inlineStr"/>
      <c r="E9" s="29" t="inlineStr">
        <is>
          <t>32表</t>
        </is>
      </c>
      <c r="F9" s="29" t="inlineStr"/>
    </row>
    <row r="10">
      <c r="A10" s="29" t="inlineStr">
        <is>
          <t>机电安装</t>
        </is>
      </c>
      <c r="B10" s="11" t="inlineStr"/>
      <c r="C10" s="11" t="inlineStr"/>
      <c r="D10" s="11" t="inlineStr"/>
      <c r="E10" s="29" t="inlineStr">
        <is>
          <t>33表</t>
        </is>
      </c>
      <c r="F10" s="29" t="inlineStr"/>
    </row>
    <row r="11">
      <c r="A11" s="29" t="inlineStr">
        <is>
          <t>拆除工程</t>
        </is>
      </c>
      <c r="B11" s="11" t="inlineStr"/>
      <c r="C11" s="11" t="inlineStr"/>
      <c r="D11" s="11" t="inlineStr"/>
      <c r="E11" s="29" t="inlineStr">
        <is>
          <t>34表</t>
        </is>
      </c>
      <c r="F11" s="29" t="inlineStr"/>
    </row>
    <row r="12">
      <c r="A12" s="29" t="inlineStr">
        <is>
          <t>运行阶段</t>
        </is>
      </c>
      <c r="B12" s="11" t="inlineStr"/>
      <c r="C12" s="11" t="inlineStr"/>
      <c r="D12" s="11" t="inlineStr"/>
      <c r="E12" s="29" t="inlineStr">
        <is>
          <t>23表</t>
        </is>
      </c>
      <c r="F12" s="29" t="inlineStr"/>
    </row>
    <row r="13">
      <c r="A13" s="29" t="inlineStr">
        <is>
          <t>水资源与废弃物</t>
        </is>
      </c>
      <c r="B13" s="11" t="inlineStr"/>
      <c r="C13" s="11" t="inlineStr"/>
      <c r="D13" s="11" t="inlineStr"/>
      <c r="E13" s="29" t="inlineStr">
        <is>
          <t>35表</t>
        </is>
      </c>
      <c r="F13" s="29" t="inlineStr"/>
    </row>
    <row r="14">
      <c r="A14" s="29" t="inlineStr">
        <is>
          <t>隐含碳</t>
        </is>
      </c>
      <c r="B14" s="11" t="inlineStr"/>
      <c r="C14" s="11" t="inlineStr"/>
      <c r="D14" s="11" t="inlineStr"/>
      <c r="E14" s="29" t="inlineStr">
        <is>
          <t>37表</t>
        </is>
      </c>
      <c r="F14" s="29" t="inlineStr"/>
    </row>
    <row r="15">
      <c r="A15" s="33" t="inlineStr">
        <is>
          <t>减：绿地碳汇</t>
        </is>
      </c>
      <c r="B15" s="11" t="inlineStr"/>
      <c r="C15" s="11" t="inlineStr"/>
      <c r="D15" s="11" t="inlineStr"/>
      <c r="E15" s="29" t="inlineStr">
        <is>
          <t>36表</t>
        </is>
      </c>
      <c r="F15" s="29" t="inlineStr">
        <is>
          <t>负值</t>
        </is>
      </c>
    </row>
    <row r="16">
      <c r="A16" s="33" t="inlineStr">
        <is>
          <t>总计</t>
        </is>
      </c>
      <c r="B16" s="11" t="inlineStr"/>
      <c r="C16" s="11" t="inlineStr"/>
      <c r="D16" s="11" t="inlineStr"/>
      <c r="E16" s="29" t="inlineStr"/>
      <c r="F16" s="29" t="inlineStr"/>
    </row>
    <row r="18">
      <c r="A18" s="28" t="inlineStr">
        <is>
          <t>碳排放强度指标</t>
        </is>
      </c>
    </row>
    <row r="19">
      <c r="A19" s="34" t="inlineStr">
        <is>
          <t>碳排放强度等级</t>
        </is>
      </c>
      <c r="B19" s="35" t="inlineStr"/>
      <c r="C19" s="35" t="inlineStr">
        <is>
          <t>级</t>
        </is>
      </c>
      <c r="D19" s="35" t="inlineStr">
        <is>
          <t>□优秀 □良好 □合格 □不合格</t>
        </is>
      </c>
      <c r="E19" s="35" t="inlineStr"/>
      <c r="F19" s="35" t="inlineStr"/>
    </row>
  </sheetData>
  <mergeCells count="3">
    <mergeCell ref="A18:H18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2026-04-06T05:13:20Z</dcterms:created>
  <dcterms:modified xmlns:dcterms="http://purl.org/dc/terms/" xmlns:xsi="http://www.w3.org/2001/XMLSchema-instance" xsi:type="dcterms:W3CDTF">2026-04-06T05:23:45Z</dcterms:modified>
</cp:coreProperties>
</file>