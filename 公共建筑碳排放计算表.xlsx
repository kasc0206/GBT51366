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项目基本信息" sheetId="2" state="visible" r:id="rId2"/>
    <sheet xmlns:r="http://schemas.openxmlformats.org/officeDocument/2006/relationships" name="运行阶段-能源" sheetId="3" state="visible" r:id="rId3"/>
    <sheet xmlns:r="http://schemas.openxmlformats.org/officeDocument/2006/relationships" name="运行阶段-系统" sheetId="4" state="visible" r:id="rId4"/>
    <sheet xmlns:r="http://schemas.openxmlformats.org/officeDocument/2006/relationships" name="建材生产运输" sheetId="5" state="visible" r:id="rId5"/>
    <sheet xmlns:r="http://schemas.openxmlformats.org/officeDocument/2006/relationships" name="建造拆除阶段" sheetId="6" state="visible" r:id="rId6"/>
    <sheet xmlns:r="http://schemas.openxmlformats.org/officeDocument/2006/relationships" name="水资源与废弃物" sheetId="7" state="visible" r:id="rId7"/>
    <sheet xmlns:r="http://schemas.openxmlformats.org/officeDocument/2006/relationships" name="碳汇与隐含碳" sheetId="8" state="visible" r:id="rId8"/>
    <sheet xmlns:r="http://schemas.openxmlformats.org/officeDocument/2006/relationships" name="情景分析" sheetId="9" state="visible" r:id="rId9"/>
    <sheet xmlns:r="http://schemas.openxmlformats.org/officeDocument/2006/relationships" name="敏感性分析" sheetId="10" state="visible" r:id="rId10"/>
    <sheet xmlns:r="http://schemas.openxmlformats.org/officeDocument/2006/relationships" name="对标与预测" sheetId="11" state="visible" r:id="rId11"/>
    <sheet xmlns:r="http://schemas.openxmlformats.org/officeDocument/2006/relationships" name="碳交易分析" sheetId="12" state="visible" r:id="rId12"/>
    <sheet xmlns:r="http://schemas.openxmlformats.org/officeDocument/2006/relationships" name="碳排放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8">
    <font>
      <name val="Calibri"/>
      <family val="2"/>
      <color theme="1"/>
      <sz val="11"/>
      <scheme val="minor"/>
    </font>
    <font>
      <name val="微软雅黑"/>
      <b val="1"/>
      <color rgb="001F4E79"/>
      <sz val="24"/>
    </font>
    <font>
      <name val="微软雅黑"/>
      <color rgb="00666666"/>
      <sz val="14"/>
    </font>
    <font>
      <name val="微软雅黑"/>
      <b val="1"/>
      <color rgb="001F4E79"/>
      <sz val="13"/>
    </font>
    <font>
      <name val="微软雅黑"/>
      <color rgb="00666666"/>
      <sz val="12"/>
    </font>
    <font>
      <name val="微软雅黑"/>
      <color rgb="00999999"/>
      <sz val="12"/>
    </font>
    <font>
      <name val="微软雅黑"/>
      <b val="1"/>
      <color rgb="001F4E79"/>
      <sz val="18"/>
    </font>
    <font>
      <name val="微软雅黑"/>
      <color rgb="002E75B6"/>
      <sz val="13"/>
    </font>
    <font>
      <name val="微软雅黑"/>
      <color rgb="00666666"/>
      <sz val="11"/>
    </font>
    <font>
      <name val="微软雅黑"/>
      <color rgb="004CAF50"/>
      <sz val="13"/>
    </font>
    <font>
      <name val="微软雅黑"/>
      <color rgb="00FF9800"/>
      <sz val="13"/>
    </font>
    <font>
      <name val="微软雅黑"/>
      <color rgb="009C27B0"/>
      <sz val="13"/>
    </font>
    <font>
      <name val="微软雅黑"/>
      <color rgb="002E75B6"/>
      <sz val="11"/>
    </font>
    <font>
      <name val="微软雅黑"/>
      <color rgb="004CAF50"/>
      <sz val="11"/>
    </font>
    <font>
      <name val="微软雅黑"/>
      <color rgb="00FF9800"/>
      <sz val="11"/>
    </font>
    <font>
      <name val="微软雅黑"/>
      <color rgb="009C27B0"/>
      <sz val="11"/>
    </font>
    <font>
      <name val="微软雅黑"/>
      <color rgb="00F44336"/>
      <sz val="11"/>
    </font>
    <font>
      <name val="微软雅黑"/>
      <color rgb="0000BCD4"/>
      <sz val="11"/>
    </font>
    <font>
      <name val="微软雅黑"/>
      <color rgb="00795548"/>
      <sz val="11"/>
    </font>
    <font>
      <name val="微软雅黑"/>
      <color rgb="00607D8B"/>
      <sz val="11"/>
    </font>
    <font>
      <name val="微软雅黑"/>
      <color rgb="00E91E63"/>
      <sz val="11"/>
    </font>
    <font>
      <name val="微软雅黑"/>
      <color rgb="003F51B5"/>
      <sz val="11"/>
    </font>
    <font>
      <name val="微软雅黑"/>
      <color rgb="00009688"/>
      <sz val="11"/>
    </font>
    <font>
      <name val="微软雅黑"/>
      <color rgb="00FF5722"/>
      <sz val="11"/>
    </font>
    <font>
      <name val="微软雅黑"/>
      <b val="1"/>
      <color rgb="00F44336"/>
      <sz val="12"/>
    </font>
    <font>
      <name val="微软雅黑"/>
      <b val="1"/>
      <color rgb="001F4E79"/>
      <sz val="16"/>
    </font>
    <font>
      <name val="微软雅黑"/>
      <b val="1"/>
      <color rgb="001F4E79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i val="1"/>
      <color rgb="000066CC"/>
      <sz val="10"/>
    </font>
    <font>
      <name val="微软雅黑"/>
      <b val="1"/>
      <color rgb="00FFFFFF"/>
      <sz val="12"/>
    </font>
    <font>
      <name val="微软雅黑"/>
      <i val="1"/>
      <color rgb="00666666"/>
      <sz val="9"/>
    </font>
    <font>
      <name val="微软雅黑"/>
      <b val="1"/>
      <sz val="12"/>
    </font>
    <font>
      <name val="微软雅黑"/>
      <b val="1"/>
      <color rgb="001F4E79"/>
      <sz val="20"/>
    </font>
    <font>
      <name val="微软雅黑"/>
      <i val="1"/>
      <color rgb="00666666"/>
      <sz val="12"/>
    </font>
    <font>
      <name val="微软雅黑"/>
      <b val="1"/>
      <color rgb="001F4E79"/>
      <sz val="14"/>
    </font>
    <font>
      <name val="微软雅黑"/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F5F5F5"/>
        <bgColor rgb="00F5F5F5"/>
      </patternFill>
    </fill>
    <fill>
      <patternFill patternType="solid">
        <fgColor rgb="004CAF50"/>
        <bgColor rgb="004CAF50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FF9800"/>
        <bgColor rgb="00FF9800"/>
      </patternFill>
    </fill>
    <fill>
      <patternFill patternType="solid">
        <fgColor rgb="00E8F5E9"/>
        <bgColor rgb="00E8F5E9"/>
      </patternFill>
    </fill>
    <fill>
      <patternFill patternType="solid">
        <fgColor rgb="009C27B0"/>
        <bgColor rgb="009C27B0"/>
      </patternFill>
    </fill>
    <fill>
      <patternFill patternType="solid">
        <fgColor rgb="00FF5722"/>
        <bgColor rgb="00FF5722"/>
      </patternFill>
    </fill>
    <fill>
      <patternFill patternType="solid">
        <fgColor rgb="00607D8B"/>
        <bgColor rgb="00607D8B"/>
      </patternFill>
    </fill>
    <fill>
      <patternFill patternType="solid">
        <fgColor rgb="00E91E63"/>
        <bgColor rgb="00E91E63"/>
      </patternFill>
    </fill>
    <fill>
      <patternFill patternType="solid">
        <fgColor rgb="00F44336"/>
        <bgColor rgb="00F44336"/>
      </patternFill>
    </fill>
    <fill>
      <patternFill patternType="solid">
        <fgColor rgb="0000BCD4"/>
        <bgColor rgb="0000BCD4"/>
      </patternFill>
    </fill>
    <fill>
      <patternFill patternType="solid">
        <fgColor rgb="00795548"/>
        <bgColor rgb="00795548"/>
      </patternFill>
    </fill>
    <fill>
      <patternFill patternType="solid">
        <fgColor rgb="003F51B5"/>
        <bgColor rgb="003F51B5"/>
      </patternFill>
    </fill>
    <fill>
      <patternFill patternType="solid">
        <fgColor rgb="00009688"/>
        <bgColor rgb="00009688"/>
      </patternFill>
    </fill>
    <fill>
      <patternFill patternType="solid">
        <fgColor rgb="00E3F2FD"/>
        <bgColor rgb="00E3F2F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6" fillId="0" borderId="0" pivotButton="0" quotePrefix="0" xfId="0"/>
    <xf numFmtId="0" fontId="27" fillId="2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left" vertical="center" wrapText="1"/>
    </xf>
    <xf numFmtId="0" fontId="25" fillId="0" borderId="0" pivotButton="0" quotePrefix="0" xfId="0"/>
    <xf numFmtId="0" fontId="27" fillId="5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center" vertical="center" wrapText="1"/>
    </xf>
    <xf numFmtId="4" fontId="28" fillId="0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left" vertical="center" wrapText="1"/>
    </xf>
    <xf numFmtId="0" fontId="29" fillId="7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7" fillId="8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9" fillId="4" borderId="1" pivotButton="0" quotePrefix="0" xfId="0"/>
    <xf numFmtId="0" fontId="28" fillId="6" borderId="1" pivotButton="0" quotePrefix="0" xfId="0"/>
    <xf numFmtId="0" fontId="28" fillId="0" borderId="1" pivotButton="0" quotePrefix="0" xfId="0"/>
    <xf numFmtId="0" fontId="30" fillId="4" borderId="1" pivotButton="0" quotePrefix="0" xfId="0"/>
    <xf numFmtId="0" fontId="28" fillId="9" borderId="1" pivotButton="0" quotePrefix="0" xfId="0"/>
    <xf numFmtId="0" fontId="31" fillId="10" borderId="0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left" vertical="center" wrapText="1"/>
    </xf>
    <xf numFmtId="0" fontId="31" fillId="11" borderId="0" applyAlignment="1" pivotButton="0" quotePrefix="0" xfId="0">
      <alignment horizontal="center" vertical="center" wrapText="1"/>
    </xf>
    <xf numFmtId="0" fontId="31" fillId="12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 wrapText="1"/>
    </xf>
    <xf numFmtId="0" fontId="31" fillId="13" borderId="0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center" vertical="center" wrapText="1"/>
    </xf>
    <xf numFmtId="4" fontId="28" fillId="6" borderId="1" applyAlignment="1" pivotButton="0" quotePrefix="0" xfId="0">
      <alignment horizontal="left" vertical="center" wrapText="1"/>
    </xf>
    <xf numFmtId="0" fontId="29" fillId="7" borderId="0" pivotButton="0" quotePrefix="0" xfId="0"/>
    <xf numFmtId="0" fontId="31" fillId="2" borderId="0" pivotButton="0" quotePrefix="0" xfId="0"/>
    <xf numFmtId="0" fontId="33" fillId="7" borderId="0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3" borderId="1" pivotButton="0" quotePrefix="0" xfId="0"/>
    <xf numFmtId="0" fontId="28" fillId="4" borderId="1" pivotButton="0" quotePrefix="0" xfId="0"/>
    <xf numFmtId="4" fontId="28" fillId="6" borderId="1" pivotButton="0" quotePrefix="0" xfId="0"/>
    <xf numFmtId="0" fontId="27" fillId="1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164" fontId="28" fillId="9" borderId="1" applyAlignment="1" pivotButton="0" quotePrefix="0" xfId="0">
      <alignment horizontal="center" vertical="center" wrapText="1"/>
    </xf>
    <xf numFmtId="0" fontId="27" fillId="18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29" fillId="4" borderId="0" pivotButton="0" quotePrefix="0" xfId="0"/>
    <xf numFmtId="0" fontId="0" fillId="6" borderId="1" pivotButton="0" quotePrefix="0" xfId="0"/>
    <xf numFmtId="0" fontId="29" fillId="0" borderId="1" pivotButton="0" quotePrefix="0" xfId="0"/>
    <xf numFmtId="0" fontId="34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36" fillId="0" borderId="0" pivotButton="0" quotePrefix="0" xfId="0"/>
    <xf numFmtId="0" fontId="29" fillId="19" borderId="1" applyAlignment="1" pivotButton="0" quotePrefix="0" xfId="0">
      <alignment horizontal="center" vertical="center" wrapText="1"/>
    </xf>
    <xf numFmtId="0" fontId="37" fillId="8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公共建筑碳排放计算系统 V2.0</t>
        </is>
      </c>
    </row>
    <row r="2" ht="30" customHeight="1">
      <c r="A2" s="2" t="inlineStr"/>
    </row>
    <row r="3" ht="30" customHeight="1">
      <c r="A3" s="3" t="inlineStr">
        <is>
          <t>基于GB/T 51366-2019《建筑碳排放计算标准》</t>
        </is>
      </c>
    </row>
    <row r="4" ht="30" customHeight="1">
      <c r="A4" s="3" t="inlineStr">
        <is>
          <t>基于JS/T 303-2026《公共机构碳排放核算指南》</t>
        </is>
      </c>
    </row>
    <row r="5" ht="20" customHeight="1">
      <c r="A5" s="4" t="inlineStr"/>
    </row>
    <row r="6" ht="20" customHeight="1">
      <c r="A6" s="5">
        <f>===================================================================================================</f>
        <v/>
      </c>
    </row>
    <row r="7" ht="20" customHeight="1">
      <c r="A7" s="4" t="inlineStr"/>
    </row>
    <row r="8" ht="30" customHeight="1">
      <c r="A8" s="6" t="inlineStr">
        <is>
          <t>系统特色功能</t>
        </is>
      </c>
    </row>
    <row r="9" ht="20" customHeight="1">
      <c r="A9" s="4" t="inlineStr"/>
    </row>
    <row r="10" ht="30" customHeight="1">
      <c r="A10" s="7" t="inlineStr">
        <is>
          <t>✓ 全面计算覆盖</t>
        </is>
      </c>
    </row>
    <row r="11" ht="20" customHeight="1">
      <c r="A11" s="8" t="inlineStr">
        <is>
          <t xml:space="preserve">  · 运行阶段：15+用能系统（暖通空调、生活热水、照明、电梯、数据中心、充电桩等）</t>
        </is>
      </c>
    </row>
    <row r="12" ht="20" customHeight="1">
      <c r="A12" s="8" t="inlineStr">
        <is>
          <t xml:space="preserve">  · 建材阶段：50+建材类型（结构、围护、装饰、安装、特殊、再生材料）</t>
        </is>
      </c>
    </row>
    <row r="13" ht="20" customHeight="1">
      <c r="A13" s="8" t="inlineStr">
        <is>
          <t xml:space="preserve">  · 建造拆除：20+分部分项工程 + 绿色施工措施</t>
        </is>
      </c>
    </row>
    <row r="14" ht="20" customHeight="1">
      <c r="A14" s="4" t="inlineStr"/>
    </row>
    <row r="15" ht="30" customHeight="1">
      <c r="A15" s="9" t="inlineStr">
        <is>
          <t>✓ 扩展计算模块</t>
        </is>
      </c>
    </row>
    <row r="16" ht="20" customHeight="1">
      <c r="A16" s="8" t="inlineStr">
        <is>
          <t xml:space="preserve">  · 水资源消耗碳排放（供水、排水、水处理）</t>
        </is>
      </c>
    </row>
    <row r="17" ht="20" customHeight="1">
      <c r="A17" s="8" t="inlineStr">
        <is>
          <t xml:space="preserve">  · 废弃物处理碳排放（生活垃圾、建筑垃圾、危险废物）</t>
        </is>
      </c>
    </row>
    <row r="18" ht="20" customHeight="1">
      <c r="A18" s="8" t="inlineStr">
        <is>
          <t xml:space="preserve">  · 建筑碳汇计算（绿地碳汇、立体绿化、屋顶绿化）</t>
        </is>
      </c>
    </row>
    <row r="19" ht="20" customHeight="1">
      <c r="A19" s="8" t="inlineStr">
        <is>
          <t xml:space="preserve">  · 隐含碳排放（家具、设备、IT资产）</t>
        </is>
      </c>
    </row>
    <row r="20" ht="20" customHeight="1">
      <c r="A20" s="4" t="inlineStr"/>
    </row>
    <row r="21" ht="30" customHeight="1">
      <c r="A21" s="10" t="inlineStr">
        <is>
          <t>✓ 高级分析功能</t>
        </is>
      </c>
    </row>
    <row r="22" ht="20" customHeight="1">
      <c r="A22" s="8" t="inlineStr">
        <is>
          <t xml:space="preserve">  · 情景分析（基准情景、节能情景、碳中和情景）</t>
        </is>
      </c>
    </row>
    <row r="23" ht="20" customHeight="1">
      <c r="A23" s="8" t="inlineStr">
        <is>
          <t xml:space="preserve">  · 敏感性分析（识别关键影响因素）</t>
        </is>
      </c>
    </row>
    <row r="24" ht="20" customHeight="1">
      <c r="A24" s="8" t="inlineStr">
        <is>
          <t xml:space="preserve">  · 对标分析（与国家/地方/行业标准对比）</t>
        </is>
      </c>
    </row>
    <row r="25" ht="20" customHeight="1">
      <c r="A25" s="8" t="inlineStr">
        <is>
          <t xml:space="preserve">  · 预测分析（未来5-10年碳排放趋势）</t>
        </is>
      </c>
    </row>
    <row r="26" ht="20" customHeight="1">
      <c r="A26" s="8" t="inlineStr">
        <is>
          <t xml:space="preserve">  · 碳交易分析（碳配额、碳成本核算）</t>
        </is>
      </c>
    </row>
    <row r="27" ht="20" customHeight="1">
      <c r="A27" s="4" t="inlineStr"/>
    </row>
    <row r="28" ht="30" customHeight="1">
      <c r="A28" s="11" t="inlineStr">
        <is>
          <t>✓ 数据管理与报告</t>
        </is>
      </c>
    </row>
    <row r="29" ht="20" customHeight="1">
      <c r="A29" s="8" t="inlineStr">
        <is>
          <t xml:space="preserve">  · Excel-Word自动联动</t>
        </is>
      </c>
    </row>
    <row r="30" ht="20" customHeight="1">
      <c r="A30" s="8" t="inlineStr">
        <is>
          <t xml:space="preserve">  · 多维度数据汇总</t>
        </is>
      </c>
    </row>
    <row r="31" ht="20" customHeight="1">
      <c r="A31" s="8" t="inlineStr">
        <is>
          <t xml:space="preserve">  · 可视化图表生成</t>
        </is>
      </c>
    </row>
    <row r="32" ht="20" customHeight="1">
      <c r="A32" s="8" t="inlineStr">
        <is>
          <t xml:space="preserve">  · 完整报告自动生成</t>
        </is>
      </c>
    </row>
    <row r="33" ht="20" customHeight="1">
      <c r="A33" s="4" t="inlineStr"/>
    </row>
    <row r="34" ht="20" customHeight="1">
      <c r="A34" s="5">
        <f>===================================================================================================</f>
        <v/>
      </c>
    </row>
    <row r="35" ht="20" customHeight="1">
      <c r="A35" s="4" t="inlineStr"/>
    </row>
    <row r="36" ht="30" customHeight="1">
      <c r="A36" s="6" t="inlineStr">
        <is>
          <t>工作表导航</t>
        </is>
      </c>
    </row>
    <row r="37" ht="20" customHeight="1">
      <c r="A37" s="4" t="inlineStr"/>
    </row>
    <row r="38" ht="20" customHeight="1">
      <c r="A38" s="12" t="inlineStr">
        <is>
          <t>1.  使用说明        - 本工作表，系统功能介绍</t>
        </is>
      </c>
    </row>
    <row r="39" ht="20" customHeight="1">
      <c r="A39" s="13" t="inlineStr">
        <is>
          <t>2.  项目基本信息    - 建筑基本信息、运行参数、可再生能源</t>
        </is>
      </c>
    </row>
    <row r="40" ht="20" customHeight="1">
      <c r="A40" s="14" t="inlineStr">
        <is>
          <t>3.  运行阶段-能源   - 能源消耗汇总、各类能源详细计算</t>
        </is>
      </c>
    </row>
    <row r="41" ht="20" customHeight="1">
      <c r="A41" s="15" t="inlineStr">
        <is>
          <t>4.  运行阶段-系统   - 15+用能系统详细计算</t>
        </is>
      </c>
    </row>
    <row r="42" ht="20" customHeight="1">
      <c r="A42" s="16" t="inlineStr">
        <is>
          <t>5.  建材生产运输    - 50+建材类型、生产和运输碳排放</t>
        </is>
      </c>
    </row>
    <row r="43" ht="20" customHeight="1">
      <c r="A43" s="17" t="inlineStr">
        <is>
          <t>6.  建造拆除阶段    - 分部分项工程、绿色施工、拆除</t>
        </is>
      </c>
    </row>
    <row r="44" ht="20" customHeight="1">
      <c r="A44" s="18" t="inlineStr">
        <is>
          <t>7.  水资源与废弃物  - 水资源消耗、废弃物处理碳排放</t>
        </is>
      </c>
    </row>
    <row r="45" ht="20" customHeight="1">
      <c r="A45" s="19" t="inlineStr">
        <is>
          <t>8.  碳汇与隐含碳    - 建筑碳汇、家具设备隐含碳</t>
        </is>
      </c>
    </row>
    <row r="46" ht="20" customHeight="1">
      <c r="A46" s="20" t="inlineStr">
        <is>
          <t>9.  情景分析        - 多情景对比分析</t>
        </is>
      </c>
    </row>
    <row r="47" ht="20" customHeight="1">
      <c r="A47" s="21" t="inlineStr">
        <is>
          <t>10. 敏感性分析      - 关键参数敏感性测试</t>
        </is>
      </c>
    </row>
    <row r="48" ht="20" customHeight="1">
      <c r="A48" s="22" t="inlineStr">
        <is>
          <t>11. 对标与预测      - 行业标准对标、碳排放预测</t>
        </is>
      </c>
    </row>
    <row r="49" ht="20" customHeight="1">
      <c r="A49" s="23" t="inlineStr">
        <is>
          <t>12. 碳交易分析      - 碳配额、碳成本核算</t>
        </is>
      </c>
    </row>
    <row r="50" ht="20" customHeight="1">
      <c r="A50" s="16" t="inlineStr">
        <is>
          <t>13. 碳排放汇总      - 全生命周期碳排放汇总报告</t>
        </is>
      </c>
    </row>
    <row r="51" ht="20" customHeight="1">
      <c r="A51" s="4" t="inlineStr"/>
    </row>
    <row r="52" ht="20" customHeight="1">
      <c r="A52" s="5">
        <f>===================================================================================================</f>
        <v/>
      </c>
    </row>
    <row r="53" ht="20" customHeight="1">
      <c r="A53" s="4" t="inlineStr"/>
    </row>
    <row r="54" ht="30" customHeight="1">
      <c r="A54" s="6" t="inlineStr">
        <is>
          <t>填写说明</t>
        </is>
      </c>
    </row>
    <row r="55" ht="20" customHeight="1">
      <c r="A55" s="4" t="inlineStr"/>
    </row>
    <row r="56" ht="20" customHeight="1">
      <c r="A56" s="8" t="inlineStr">
        <is>
          <t>🟡 黄色单元格：输入区，需要填写基础数据</t>
        </is>
      </c>
    </row>
    <row r="57" ht="20" customHeight="1">
      <c r="A57" s="8" t="inlineStr">
        <is>
          <t>🟢 绿色单元格：计算区，自动计算公式结果</t>
        </is>
      </c>
    </row>
    <row r="58" ht="20" customHeight="1">
      <c r="A58" s="8" t="inlineStr">
        <is>
          <t>⚪ 灰色单元格：汇总区，各阶段碳排放汇总</t>
        </is>
      </c>
    </row>
    <row r="59" ht="20" customHeight="1">
      <c r="A59" s="8" t="inlineStr">
        <is>
          <t>🔵 浅蓝单元格：情景分析参数</t>
        </is>
      </c>
    </row>
    <row r="60" ht="20" customHeight="1">
      <c r="A60" s="8" t="inlineStr">
        <is>
          <t>🔴 浅红单元格：警告/注意数据</t>
        </is>
      </c>
    </row>
    <row r="61" ht="20" customHeight="1">
      <c r="A61" s="8" t="inlineStr">
        <is>
          <t>🟤 浅绿单元格：行业基准数据</t>
        </is>
      </c>
    </row>
    <row r="62" ht="20" customHeight="1">
      <c r="A62" s="4" t="inlineStr"/>
    </row>
    <row r="63" ht="20" customHeight="1">
      <c r="A63" s="24" t="inlineStr">
        <is>
          <t>【重要提示】</t>
        </is>
      </c>
    </row>
    <row r="64" ht="20" customHeight="1">
      <c r="A64" s="8" t="inlineStr">
        <is>
          <t>1. 所有能源消耗数据请按照实际计量数据填写</t>
        </is>
      </c>
    </row>
    <row r="65" ht="20" customHeight="1">
      <c r="A65" s="8" t="inlineStr">
        <is>
          <t>2. 排放因子优先采用本表提供的缺省值，如有实测数据可自行修改</t>
        </is>
      </c>
    </row>
    <row r="66" ht="20" customHeight="1">
      <c r="A66" s="8" t="inlineStr">
        <is>
          <t>3. 计算完成后，点击'更新Word报告'按钮自动生成Word文档</t>
        </is>
      </c>
    </row>
    <row r="67" ht="20" customHeight="1">
      <c r="A67" s="8" t="inlineStr">
        <is>
          <t>4. 建议定期备份Excel文件，重要修改前做好版本记录</t>
        </is>
      </c>
    </row>
    <row r="68" ht="20" customHeight="1">
      <c r="A68" s="8" t="inlineStr">
        <is>
          <t>5. 本系统与Word文档保持数据联动，Excel数据变更会自动更新Word内容</t>
        </is>
      </c>
    </row>
  </sheetData>
  <mergeCells count="68">
    <mergeCell ref="A16:L16"/>
    <mergeCell ref="A54:L54"/>
    <mergeCell ref="A7:L7"/>
    <mergeCell ref="A25:L25"/>
    <mergeCell ref="A41:L41"/>
    <mergeCell ref="A37:L37"/>
    <mergeCell ref="A46:L46"/>
    <mergeCell ref="A66:L66"/>
    <mergeCell ref="A18:L18"/>
    <mergeCell ref="A27:L27"/>
    <mergeCell ref="A56:L56"/>
    <mergeCell ref="A3:L3"/>
    <mergeCell ref="A21:L21"/>
    <mergeCell ref="A55:L55"/>
    <mergeCell ref="A12:L12"/>
    <mergeCell ref="A50:L50"/>
    <mergeCell ref="A26:L26"/>
    <mergeCell ref="A57:L57"/>
    <mergeCell ref="A2:L2"/>
    <mergeCell ref="A42:L42"/>
    <mergeCell ref="A33:L33"/>
    <mergeCell ref="A47:L47"/>
    <mergeCell ref="A5:L5"/>
    <mergeCell ref="A23:L23"/>
    <mergeCell ref="A32:L32"/>
    <mergeCell ref="A8:L8"/>
    <mergeCell ref="A14:L14"/>
    <mergeCell ref="A22:L22"/>
    <mergeCell ref="A17:L17"/>
    <mergeCell ref="A53:L53"/>
    <mergeCell ref="A35:L35"/>
    <mergeCell ref="A4:L4"/>
    <mergeCell ref="A62:L62"/>
    <mergeCell ref="A20:L20"/>
    <mergeCell ref="A38:L38"/>
    <mergeCell ref="A29:L29"/>
    <mergeCell ref="A10:L10"/>
    <mergeCell ref="A52:L52"/>
    <mergeCell ref="A43:L43"/>
    <mergeCell ref="A19:L19"/>
    <mergeCell ref="A63:L63"/>
    <mergeCell ref="A68:L68"/>
    <mergeCell ref="A28:L28"/>
    <mergeCell ref="A13:L13"/>
    <mergeCell ref="A31:L31"/>
    <mergeCell ref="A44:L44"/>
    <mergeCell ref="A58:L58"/>
    <mergeCell ref="A40:L40"/>
    <mergeCell ref="A9:L9"/>
    <mergeCell ref="A67:L67"/>
    <mergeCell ref="A39:L39"/>
    <mergeCell ref="A34:L34"/>
    <mergeCell ref="A59:L59"/>
    <mergeCell ref="A48:L48"/>
    <mergeCell ref="A24:L24"/>
    <mergeCell ref="A30:L30"/>
    <mergeCell ref="A15:L15"/>
    <mergeCell ref="A64:L64"/>
    <mergeCell ref="A60:L60"/>
    <mergeCell ref="A11:L11"/>
    <mergeCell ref="A49:L49"/>
    <mergeCell ref="A51:L51"/>
    <mergeCell ref="A1:L1"/>
    <mergeCell ref="A45:L45"/>
    <mergeCell ref="A36:L36"/>
    <mergeCell ref="A61:L61"/>
    <mergeCell ref="A6:L6"/>
    <mergeCell ref="A65:L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8" customWidth="1" min="4" max="4"/>
    <col width="35" customWidth="1" min="5" max="5"/>
    <col width="25" customWidth="1" min="6" max="6"/>
    <col width="15" customWidth="1" min="7" max="7"/>
    <col width="15" customWidth="1" min="8" max="8"/>
  </cols>
  <sheetData>
    <row r="1">
      <c r="A1" s="25" t="inlineStr">
        <is>
          <t>公共建筑碳排放计算 - 项目基本信息与运行参数</t>
        </is>
      </c>
    </row>
    <row r="3">
      <c r="A3" s="26" t="inlineStr">
        <is>
          <t>2.1 建筑基本信息</t>
        </is>
      </c>
    </row>
    <row r="4">
      <c r="A4" s="27" t="inlineStr">
        <is>
          <t>基础信息</t>
        </is>
      </c>
    </row>
    <row r="5">
      <c r="A5" s="28" t="inlineStr">
        <is>
          <t>项目</t>
        </is>
      </c>
      <c r="B5" s="28" t="inlineStr">
        <is>
          <t>数值</t>
        </is>
      </c>
      <c r="C5" s="28" t="inlineStr">
        <is>
          <t>单位</t>
        </is>
      </c>
      <c r="D5" s="28" t="inlineStr">
        <is>
          <t>数据来源</t>
        </is>
      </c>
      <c r="E5" s="28" t="inlineStr">
        <is>
          <t>说明</t>
        </is>
      </c>
    </row>
    <row r="6">
      <c r="A6" s="29" t="inlineStr">
        <is>
          <t>项目名称</t>
        </is>
      </c>
      <c r="B6" s="30" t="inlineStr"/>
      <c r="C6" s="29" t="inlineStr">
        <is>
          <t>-</t>
        </is>
      </c>
      <c r="D6" s="31" t="inlineStr"/>
      <c r="E6" s="31" t="inlineStr">
        <is>
          <t>项目文件</t>
        </is>
      </c>
      <c r="F6" s="32" t="inlineStr">
        <is>
          <t>填写完整项目名称</t>
        </is>
      </c>
    </row>
    <row r="7">
      <c r="A7" s="29" t="inlineStr">
        <is>
          <t>建筑地址</t>
        </is>
      </c>
      <c r="B7" s="30" t="inlineStr"/>
      <c r="C7" s="29" t="inlineStr">
        <is>
          <t>-</t>
        </is>
      </c>
      <c r="D7" s="31" t="inlineStr"/>
      <c r="E7" s="31" t="inlineStr">
        <is>
          <t>规划许可证</t>
        </is>
      </c>
      <c r="F7" s="32" t="inlineStr">
        <is>
          <t>详细到街道门牌号</t>
        </is>
      </c>
    </row>
    <row r="8">
      <c r="A8" s="29" t="inlineStr">
        <is>
          <t>建筑类型</t>
        </is>
      </c>
      <c r="B8" s="30" t="inlineStr"/>
      <c r="C8" s="29" t="inlineStr">
        <is>
          <t>-</t>
        </is>
      </c>
      <c r="D8" s="31" t="inlineStr"/>
      <c r="E8" s="31" t="inlineStr">
        <is>
          <t>设计文件</t>
        </is>
      </c>
      <c r="F8" s="32" t="inlineStr">
        <is>
          <t>办公/商业/医院/学校/酒店等</t>
        </is>
      </c>
    </row>
    <row r="9">
      <c r="A9" s="29" t="inlineStr">
        <is>
          <t>建筑功能</t>
        </is>
      </c>
      <c r="B9" s="30" t="inlineStr"/>
      <c r="C9" s="29" t="inlineStr">
        <is>
          <t>-</t>
        </is>
      </c>
      <c r="D9" s="31" t="inlineStr"/>
      <c r="E9" s="31" t="inlineStr">
        <is>
          <t>设计文件</t>
        </is>
      </c>
      <c r="F9" s="32" t="inlineStr">
        <is>
          <t>主要功能说明</t>
        </is>
      </c>
    </row>
    <row r="10">
      <c r="A10" s="29" t="inlineStr">
        <is>
          <t>建筑面积(A)</t>
        </is>
      </c>
      <c r="B10" s="30" t="inlineStr"/>
      <c r="C10" s="29" t="inlineStr">
        <is>
          <t>m²</t>
        </is>
      </c>
      <c r="D10" s="31" t="inlineStr"/>
      <c r="E10" s="31" t="inlineStr">
        <is>
          <t>房产证/测绘报告</t>
        </is>
      </c>
      <c r="F10" s="32" t="inlineStr">
        <is>
          <t>地上+地下总面积</t>
        </is>
      </c>
    </row>
    <row r="11">
      <c r="A11" s="29" t="inlineStr">
        <is>
          <t>地上建筑面积</t>
        </is>
      </c>
      <c r="B11" s="30" t="inlineStr"/>
      <c r="C11" s="29" t="inlineStr">
        <is>
          <t>m²</t>
        </is>
      </c>
      <c r="D11" s="31" t="inlineStr"/>
      <c r="E11" s="31" t="inlineStr">
        <is>
          <t>设计图纸</t>
        </is>
      </c>
      <c r="F11" s="32" t="inlineStr"/>
    </row>
    <row r="12">
      <c r="A12" s="29" t="inlineStr">
        <is>
          <t>地下建筑面积</t>
        </is>
      </c>
      <c r="B12" s="30" t="inlineStr"/>
      <c r="C12" s="29" t="inlineStr">
        <is>
          <t>m²</t>
        </is>
      </c>
      <c r="D12" s="31" t="inlineStr"/>
      <c r="E12" s="31" t="inlineStr">
        <is>
          <t>设计图纸</t>
        </is>
      </c>
      <c r="F12" s="32" t="inlineStr"/>
    </row>
    <row r="13">
      <c r="A13" s="29" t="inlineStr">
        <is>
          <t>建筑层数（地上）</t>
        </is>
      </c>
      <c r="B13" s="30" t="inlineStr"/>
      <c r="C13" s="29" t="inlineStr">
        <is>
          <t>层</t>
        </is>
      </c>
      <c r="D13" s="31" t="inlineStr"/>
      <c r="E13" s="31" t="inlineStr">
        <is>
          <t>设计文件</t>
        </is>
      </c>
      <c r="F13" s="32" t="inlineStr"/>
    </row>
    <row r="14">
      <c r="A14" s="29" t="inlineStr">
        <is>
          <t>建筑层数（地下）</t>
        </is>
      </c>
      <c r="B14" s="30" t="inlineStr"/>
      <c r="C14" s="29" t="inlineStr">
        <is>
          <t>层</t>
        </is>
      </c>
      <c r="D14" s="31" t="inlineStr"/>
      <c r="E14" s="31" t="inlineStr">
        <is>
          <t>设计文件</t>
        </is>
      </c>
      <c r="F14" s="32" t="inlineStr"/>
    </row>
    <row r="15">
      <c r="A15" s="29" t="inlineStr">
        <is>
          <t>建筑高度</t>
        </is>
      </c>
      <c r="B15" s="30" t="inlineStr"/>
      <c r="C15" s="29" t="inlineStr">
        <is>
          <t>m</t>
        </is>
      </c>
      <c r="D15" s="31" t="inlineStr"/>
      <c r="E15" s="31" t="inlineStr">
        <is>
          <t>设计文件</t>
        </is>
      </c>
      <c r="F15" s="32" t="inlineStr">
        <is>
          <t>室外地面到屋面面层</t>
        </is>
      </c>
    </row>
    <row r="16">
      <c r="A16" s="29" t="inlineStr">
        <is>
          <t>结构类型</t>
        </is>
      </c>
      <c r="B16" s="30" t="inlineStr"/>
      <c r="C16" s="29" t="inlineStr">
        <is>
          <t>-</t>
        </is>
      </c>
      <c r="D16" s="31" t="inlineStr"/>
      <c r="E16" s="31" t="inlineStr">
        <is>
          <t>设计文件</t>
        </is>
      </c>
      <c r="F16" s="32" t="inlineStr">
        <is>
          <t>框架/剪力墙/钢结构等</t>
        </is>
      </c>
    </row>
    <row r="17">
      <c r="A17" s="29" t="inlineStr">
        <is>
          <t>竣工年份</t>
        </is>
      </c>
      <c r="B17" s="30" t="inlineStr"/>
      <c r="C17" s="29" t="inlineStr">
        <is>
          <t>年</t>
        </is>
      </c>
      <c r="D17" s="31" t="inlineStr"/>
      <c r="E17" s="31" t="inlineStr">
        <is>
          <t>竣工验收文件</t>
        </is>
      </c>
      <c r="F17" s="32" t="inlineStr"/>
    </row>
    <row r="18">
      <c r="A18" s="29" t="inlineStr">
        <is>
          <t>计算年度</t>
        </is>
      </c>
      <c r="B18" s="30" t="inlineStr"/>
      <c r="C18" s="29" t="inlineStr">
        <is>
          <t>年</t>
        </is>
      </c>
      <c r="D18" s="31" t="inlineStr"/>
      <c r="E18" s="31" t="inlineStr">
        <is>
          <t>报告要求</t>
        </is>
      </c>
      <c r="F18" s="32" t="inlineStr">
        <is>
          <t>碳排放核算的年份</t>
        </is>
      </c>
    </row>
    <row r="19">
      <c r="A19" s="29" t="inlineStr">
        <is>
          <t>设计使用寿命</t>
        </is>
      </c>
      <c r="B19" s="30" t="n">
        <v>50</v>
      </c>
      <c r="C19" s="29" t="inlineStr">
        <is>
          <t>年</t>
        </is>
      </c>
      <c r="D19" s="31" t="inlineStr"/>
      <c r="E19" s="31" t="inlineStr">
        <is>
          <t>设计文件</t>
        </is>
      </c>
      <c r="F19" s="32" t="inlineStr">
        <is>
          <t>GB/T 51366-2019规定</t>
        </is>
      </c>
    </row>
    <row r="21">
      <c r="A21" s="27" t="inlineStr">
        <is>
          <t>使用信息</t>
        </is>
      </c>
    </row>
    <row r="22">
      <c r="A22" s="28" t="inlineStr">
        <is>
          <t>项目</t>
        </is>
      </c>
      <c r="B22" s="28" t="inlineStr">
        <is>
          <t>数值</t>
        </is>
      </c>
      <c r="C22" s="28" t="inlineStr">
        <is>
          <t>单位</t>
        </is>
      </c>
      <c r="D22" s="28" t="inlineStr">
        <is>
          <t>数据来源</t>
        </is>
      </c>
      <c r="E22" s="28" t="inlineStr">
        <is>
          <t>说明</t>
        </is>
      </c>
    </row>
    <row r="23">
      <c r="A23" s="29" t="inlineStr">
        <is>
          <t>建筑使用人数</t>
        </is>
      </c>
      <c r="B23" s="30" t="inlineStr"/>
      <c r="C23" s="29" t="inlineStr">
        <is>
          <t>人</t>
        </is>
      </c>
      <c r="D23" s="31" t="inlineStr"/>
      <c r="E23" s="31" t="inlineStr">
        <is>
          <t>物业管理记录</t>
        </is>
      </c>
      <c r="F23" s="32" t="inlineStr">
        <is>
          <t>日均使用人数</t>
        </is>
      </c>
    </row>
    <row r="24">
      <c r="A24" s="29" t="inlineStr">
        <is>
          <t>峰值使用人数</t>
        </is>
      </c>
      <c r="B24" s="30" t="inlineStr"/>
      <c r="C24" s="29" t="inlineStr">
        <is>
          <t>人</t>
        </is>
      </c>
      <c r="D24" s="31" t="inlineStr"/>
      <c r="E24" s="31" t="inlineStr">
        <is>
          <t>物业管理记录</t>
        </is>
      </c>
      <c r="F24" s="32" t="inlineStr">
        <is>
          <t>最大使用人数</t>
        </is>
      </c>
    </row>
    <row r="25">
      <c r="A25" s="29" t="inlineStr">
        <is>
          <t>年运行天数</t>
        </is>
      </c>
      <c r="B25" s="30" t="n">
        <v>365</v>
      </c>
      <c r="C25" s="29" t="inlineStr">
        <is>
          <t>天</t>
        </is>
      </c>
      <c r="D25" s="31" t="inlineStr"/>
      <c r="E25" s="31" t="inlineStr">
        <is>
          <t>实际运行记录</t>
        </is>
      </c>
      <c r="F25" s="32" t="inlineStr">
        <is>
          <t>可按实际情况调整</t>
        </is>
      </c>
    </row>
    <row r="26">
      <c r="A26" s="29" t="inlineStr">
        <is>
          <t>日运行时间</t>
        </is>
      </c>
      <c r="B26" s="30" t="n">
        <v>24</v>
      </c>
      <c r="C26" s="29" t="inlineStr">
        <is>
          <t>小时</t>
        </is>
      </c>
      <c r="D26" s="31" t="inlineStr"/>
      <c r="E26" s="31" t="inlineStr">
        <is>
          <t>实际运行记录</t>
        </is>
      </c>
      <c r="F26" s="32" t="inlineStr">
        <is>
          <t>平均每日运行小时数</t>
        </is>
      </c>
    </row>
    <row r="27">
      <c r="A27" s="29" t="inlineStr">
        <is>
          <t>入住率</t>
        </is>
      </c>
      <c r="B27" s="30" t="n">
        <v>80</v>
      </c>
      <c r="C27" s="29" t="inlineStr">
        <is>
          <t>%</t>
        </is>
      </c>
      <c r="D27" s="31" t="inlineStr"/>
      <c r="E27" s="31" t="inlineStr">
        <is>
          <t>物业管理记录</t>
        </is>
      </c>
      <c r="F27" s="32" t="inlineStr">
        <is>
          <t>实际使用面积/总面积</t>
        </is>
      </c>
    </row>
    <row r="28">
      <c r="A28" s="29" t="inlineStr">
        <is>
          <t>停车位数量</t>
        </is>
      </c>
      <c r="B28" s="30" t="inlineStr"/>
      <c r="C28" s="29" t="inlineStr">
        <is>
          <t>个</t>
        </is>
      </c>
      <c r="D28" s="31" t="inlineStr"/>
      <c r="E28" s="31" t="inlineStr">
        <is>
          <t>规划许可证</t>
        </is>
      </c>
      <c r="F28" s="32" t="inlineStr">
        <is>
          <t>地面+地下停车位</t>
        </is>
      </c>
    </row>
    <row r="29">
      <c r="A29" s="29" t="inlineStr">
        <is>
          <t>绿地面积</t>
        </is>
      </c>
      <c r="B29" s="30" t="inlineStr"/>
      <c r="C29" s="29" t="inlineStr">
        <is>
          <t>m²</t>
        </is>
      </c>
      <c r="D29" s="31" t="inlineStr"/>
      <c r="E29" s="31" t="inlineStr">
        <is>
          <t>规划许可证</t>
        </is>
      </c>
      <c r="F29" s="32" t="inlineStr">
        <is>
          <t>用于计算碳汇</t>
        </is>
      </c>
    </row>
    <row r="30">
      <c r="A30" s="29" t="inlineStr">
        <is>
          <t>绿地率</t>
        </is>
      </c>
      <c r="B30" s="30" t="inlineStr"/>
      <c r="C30" s="29" t="inlineStr">
        <is>
          <t>%</t>
        </is>
      </c>
      <c r="D30" s="31" t="inlineStr"/>
      <c r="E30" s="31" t="inlineStr">
        <is>
          <t>规划许可证</t>
        </is>
      </c>
      <c r="F30" s="32" t="inlineStr">
        <is>
          <t>绿地面积/总用地面积</t>
        </is>
      </c>
    </row>
    <row r="31">
      <c r="A31" s="29" t="inlineStr">
        <is>
          <t>屋顶绿化面积</t>
        </is>
      </c>
      <c r="B31" s="30" t="inlineStr"/>
      <c r="C31" s="29" t="inlineStr">
        <is>
          <t>m²</t>
        </is>
      </c>
      <c r="D31" s="31" t="inlineStr"/>
      <c r="E31" s="31" t="inlineStr">
        <is>
          <t>设计文件</t>
        </is>
      </c>
      <c r="F31" s="32" t="inlineStr">
        <is>
          <t>如有立体绿化</t>
        </is>
      </c>
    </row>
    <row r="32">
      <c r="A32" s="29" t="inlineStr">
        <is>
          <t>立体绿化面积</t>
        </is>
      </c>
      <c r="B32" s="30" t="inlineStr"/>
      <c r="C32" s="29" t="inlineStr">
        <is>
          <t>m²</t>
        </is>
      </c>
      <c r="D32" s="31" t="inlineStr"/>
      <c r="E32" s="31" t="inlineStr">
        <is>
          <t>设计文件</t>
        </is>
      </c>
      <c r="F32" s="32" t="inlineStr">
        <is>
          <t>垂直绿化等</t>
        </is>
      </c>
    </row>
  </sheetData>
  <mergeCells count="4">
    <mergeCell ref="A4:H4"/>
    <mergeCell ref="A3:H3"/>
    <mergeCell ref="A21:H2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35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3" t="inlineStr">
        <is>
          <t>运行阶段碳排放计算 - 能源消耗汇总与详细计算</t>
        </is>
      </c>
    </row>
    <row r="3">
      <c r="A3" s="26" t="inlineStr">
        <is>
          <t>3.1 能源消耗汇总（基于JS/T 303-2026第6章）</t>
        </is>
      </c>
    </row>
    <row r="4" ht="30" customHeight="1">
      <c r="A4" s="34" t="inlineStr">
        <is>
          <t>序号</t>
        </is>
      </c>
      <c r="B4" s="34" t="inlineStr">
        <is>
          <t>能源类型</t>
        </is>
      </c>
      <c r="C4" s="34" t="inlineStr">
        <is>
          <t>年消耗量</t>
        </is>
      </c>
      <c r="D4" s="34" t="inlineStr">
        <is>
          <t>单位</t>
        </is>
      </c>
      <c r="E4" s="34" t="inlineStr">
        <is>
          <t>折标系数
(kgce/单位)</t>
        </is>
      </c>
      <c r="F4" s="34" t="inlineStr">
        <is>
          <t>折标准煤
(tce)</t>
        </is>
      </c>
      <c r="G4" s="34" t="inlineStr">
        <is>
          <t>碳排放因子
(kgCO₂/单位)</t>
        </is>
      </c>
      <c r="H4" s="34" t="inlineStr">
        <is>
          <t>碳排放量
(tCO₂)</t>
        </is>
      </c>
      <c r="I4" s="34" t="inlineStr">
        <is>
          <t>数据来源</t>
        </is>
      </c>
      <c r="J4" s="34" t="inlineStr">
        <is>
          <t>备注</t>
        </is>
      </c>
    </row>
    <row r="5">
      <c r="A5" s="29" t="n">
        <v>1</v>
      </c>
      <c r="B5" s="32" t="inlineStr">
        <is>
          <t>电力（常规）</t>
        </is>
      </c>
      <c r="C5" s="35" t="inlineStr"/>
      <c r="D5" s="29" t="inlineStr">
        <is>
          <t>kWh</t>
        </is>
      </c>
      <c r="E5" s="36" t="n">
        <v>0.1229</v>
      </c>
      <c r="F5" s="37">
        <f>IF(C5="","",C5*E5/1000)</f>
        <v/>
      </c>
      <c r="G5" s="36" t="n">
        <v>0.5836</v>
      </c>
      <c r="H5" s="38" t="inlineStr"/>
      <c r="I5" s="32" t="inlineStr">
        <is>
          <t>电费账单/电表</t>
        </is>
      </c>
      <c r="J5" s="32" t="inlineStr">
        <is>
          <t>市电</t>
        </is>
      </c>
    </row>
    <row r="6">
      <c r="A6" s="29" t="n">
        <v>2</v>
      </c>
      <c r="B6" s="32" t="inlineStr">
        <is>
          <t>电力（绿电）</t>
        </is>
      </c>
      <c r="C6" s="35" t="inlineStr"/>
      <c r="D6" s="29" t="inlineStr">
        <is>
          <t>kWh</t>
        </is>
      </c>
      <c r="E6" s="36" t="n">
        <v>0.1229</v>
      </c>
      <c r="F6" s="37">
        <f>IF(C6="","",C6*E6/1000)</f>
        <v/>
      </c>
      <c r="G6" s="36" t="n">
        <v>0</v>
      </c>
      <c r="H6" s="38" t="inlineStr"/>
      <c r="I6" s="32" t="inlineStr">
        <is>
          <t>绿电采购合同</t>
        </is>
      </c>
      <c r="J6" s="32" t="inlineStr">
        <is>
          <t>零碳排放因子</t>
        </is>
      </c>
    </row>
    <row r="7">
      <c r="A7" s="29" t="n">
        <v>3</v>
      </c>
      <c r="B7" s="32" t="inlineStr">
        <is>
          <t>天然气</t>
        </is>
      </c>
      <c r="C7" s="35" t="inlineStr"/>
      <c r="D7" s="29" t="inlineStr">
        <is>
          <t>m³</t>
        </is>
      </c>
      <c r="E7" s="36" t="n">
        <v>1.33</v>
      </c>
      <c r="F7" s="37">
        <f>IF(C7="","",C7*E7/1000)</f>
        <v/>
      </c>
      <c r="G7" s="36" t="n">
        <v>2.184</v>
      </c>
      <c r="H7" s="38" t="inlineStr"/>
      <c r="I7" s="32" t="inlineStr">
        <is>
          <t>燃气账单/气表</t>
        </is>
      </c>
      <c r="J7" s="32" t="inlineStr">
        <is>
          <t>管道天然气</t>
        </is>
      </c>
    </row>
    <row r="8">
      <c r="A8" s="29" t="n">
        <v>4</v>
      </c>
      <c r="B8" s="32" t="inlineStr">
        <is>
          <t>集中供热（热水）</t>
        </is>
      </c>
      <c r="C8" s="35" t="inlineStr"/>
      <c r="D8" s="29" t="inlineStr">
        <is>
          <t>GJ</t>
        </is>
      </c>
      <c r="E8" s="36" t="n">
        <v>34.12</v>
      </c>
      <c r="F8" s="37">
        <f>IF(C8="","",C8*E8/1000)</f>
        <v/>
      </c>
      <c r="G8" s="36" t="n">
        <v>0.11</v>
      </c>
      <c r="H8" s="38" t="inlineStr"/>
      <c r="I8" s="32" t="inlineStr">
        <is>
          <t>热力账单/热量表</t>
        </is>
      </c>
      <c r="J8" s="32" t="inlineStr">
        <is>
          <t>市政集中供热</t>
        </is>
      </c>
    </row>
    <row r="9">
      <c r="A9" s="29" t="n">
        <v>5</v>
      </c>
      <c r="B9" s="32" t="inlineStr">
        <is>
          <t>集中供热（蒸汽）</t>
        </is>
      </c>
      <c r="C9" s="35" t="inlineStr"/>
      <c r="D9" s="29" t="inlineStr">
        <is>
          <t>t</t>
        </is>
      </c>
      <c r="E9" s="36" t="n">
        <v>0</v>
      </c>
      <c r="F9" s="37">
        <f>IF(C9="","",C9*E9/1000)</f>
        <v/>
      </c>
      <c r="G9" s="36" t="n">
        <v>0</v>
      </c>
      <c r="H9" s="38" t="inlineStr"/>
      <c r="I9" s="32" t="inlineStr">
        <is>
          <t>热力账单</t>
        </is>
      </c>
      <c r="J9" s="32" t="inlineStr">
        <is>
          <t>如有蒸汽供热</t>
        </is>
      </c>
    </row>
    <row r="10">
      <c r="A10" s="29" t="n">
        <v>6</v>
      </c>
      <c r="B10" s="32" t="inlineStr">
        <is>
          <t>汽油</t>
        </is>
      </c>
      <c r="C10" s="35" t="inlineStr"/>
      <c r="D10" s="29" t="inlineStr">
        <is>
          <t>L</t>
        </is>
      </c>
      <c r="E10" s="36" t="n">
        <v>0.7344000000000001</v>
      </c>
      <c r="F10" s="37">
        <f>IF(C10="","",C10*E10/1000)</f>
        <v/>
      </c>
      <c r="G10" s="36" t="n">
        <v>2.179</v>
      </c>
      <c r="H10" s="38" t="inlineStr"/>
      <c r="I10" s="32" t="inlineStr">
        <is>
          <t>加油记录</t>
        </is>
      </c>
      <c r="J10" s="32" t="inlineStr">
        <is>
          <t>公务用车</t>
        </is>
      </c>
    </row>
    <row r="11">
      <c r="A11" s="29" t="n">
        <v>7</v>
      </c>
      <c r="B11" s="32" t="inlineStr">
        <is>
          <t>柴油</t>
        </is>
      </c>
      <c r="C11" s="35" t="inlineStr"/>
      <c r="D11" s="29" t="inlineStr">
        <is>
          <t>L</t>
        </is>
      </c>
      <c r="E11" s="36" t="n">
        <v>0.8571</v>
      </c>
      <c r="F11" s="37">
        <f>IF(C11="","",C11*E11/1000)</f>
        <v/>
      </c>
      <c r="G11" s="36" t="n">
        <v>2.718</v>
      </c>
      <c r="H11" s="38" t="inlineStr"/>
      <c r="I11" s="32" t="inlineStr">
        <is>
          <t>加油记录</t>
        </is>
      </c>
      <c r="J11" s="32" t="inlineStr">
        <is>
          <t>发电机/锅炉</t>
        </is>
      </c>
    </row>
    <row r="12">
      <c r="A12" s="29" t="n">
        <v>8</v>
      </c>
      <c r="B12" s="32" t="inlineStr">
        <is>
          <t>液化石油气</t>
        </is>
      </c>
      <c r="C12" s="35" t="inlineStr"/>
      <c r="D12" s="29" t="inlineStr">
        <is>
          <t>kg</t>
        </is>
      </c>
      <c r="E12" s="36" t="n">
        <v>1.7143</v>
      </c>
      <c r="F12" s="37">
        <f>IF(C12="","",C12*E12/1000)</f>
        <v/>
      </c>
      <c r="G12" s="36" t="n">
        <v>3.166</v>
      </c>
      <c r="H12" s="38" t="inlineStr"/>
      <c r="I12" s="32" t="inlineStr">
        <is>
          <t>采购记录</t>
        </is>
      </c>
      <c r="J12" s="32" t="inlineStr">
        <is>
          <t>食堂/生活</t>
        </is>
      </c>
    </row>
    <row r="13">
      <c r="A13" s="29" t="n">
        <v>9</v>
      </c>
      <c r="B13" s="32" t="inlineStr">
        <is>
          <t>煤炭</t>
        </is>
      </c>
      <c r="C13" s="35" t="inlineStr"/>
      <c r="D13" s="29" t="inlineStr">
        <is>
          <t>t</t>
        </is>
      </c>
      <c r="E13" s="36" t="n">
        <v>0.7143</v>
      </c>
      <c r="F13" s="37">
        <f>IF(C13="","",C13*E13/1000)</f>
        <v/>
      </c>
      <c r="G13" s="36" t="n">
        <v>0</v>
      </c>
      <c r="H13" s="38" t="inlineStr"/>
      <c r="I13" s="32" t="inlineStr">
        <is>
          <t>采购记录</t>
        </is>
      </c>
      <c r="J13" s="32" t="inlineStr">
        <is>
          <t>如有燃煤锅炉</t>
        </is>
      </c>
    </row>
    <row r="14">
      <c r="A14" s="29" t="n">
        <v>10</v>
      </c>
      <c r="B14" s="32" t="inlineStr">
        <is>
          <t>燃料油</t>
        </is>
      </c>
      <c r="C14" s="35" t="inlineStr"/>
      <c r="D14" s="29" t="inlineStr">
        <is>
          <t>L</t>
        </is>
      </c>
      <c r="E14" s="36" t="n">
        <v>0</v>
      </c>
      <c r="F14" s="37">
        <f>IF(C14="","",C14*E14/1000)</f>
        <v/>
      </c>
      <c r="G14" s="36" t="n">
        <v>2.978</v>
      </c>
      <c r="H14" s="38" t="inlineStr"/>
      <c r="I14" s="32" t="inlineStr">
        <is>
          <t>采购记录</t>
        </is>
      </c>
      <c r="J14" s="32" t="inlineStr">
        <is>
          <t>应急发电机</t>
        </is>
      </c>
    </row>
    <row r="15">
      <c r="A15" s="29" t="n">
        <v>11</v>
      </c>
      <c r="B15" s="32" t="inlineStr">
        <is>
          <t>生物质燃料</t>
        </is>
      </c>
      <c r="C15" s="35" t="inlineStr"/>
      <c r="D15" s="29" t="inlineStr">
        <is>
          <t>kg</t>
        </is>
      </c>
      <c r="E15" s="36" t="n">
        <v>0</v>
      </c>
      <c r="F15" s="37">
        <f>IF(C15="","",C15*E15/1000)</f>
        <v/>
      </c>
      <c r="G15" s="36" t="n">
        <v>0</v>
      </c>
      <c r="H15" s="38" t="inlineStr"/>
      <c r="I15" s="32" t="inlineStr">
        <is>
          <t>采购记录</t>
        </is>
      </c>
      <c r="J15" s="32" t="inlineStr">
        <is>
          <t>如有生物质锅炉</t>
        </is>
      </c>
    </row>
    <row r="16">
      <c r="A16" s="39" t="n">
        <v>12</v>
      </c>
      <c r="B16" s="40" t="inlineStr">
        <is>
          <t>地热能</t>
        </is>
      </c>
      <c r="C16" s="40" t="inlineStr"/>
      <c r="D16" s="39" t="inlineStr">
        <is>
          <t>kWh</t>
        </is>
      </c>
      <c r="E16" s="39" t="n">
        <v>0</v>
      </c>
      <c r="F16" s="40">
        <f>SUM(F5:F15)</f>
        <v/>
      </c>
      <c r="G16" s="39" t="n">
        <v>0</v>
      </c>
      <c r="H16" s="40">
        <f>SUM(H5:H15)</f>
        <v/>
      </c>
      <c r="I16" s="40" t="inlineStr">
        <is>
          <t>运行记录</t>
        </is>
      </c>
      <c r="J16" s="40" t="inlineStr">
        <is>
          <t>地源热泵</t>
        </is>
      </c>
    </row>
    <row r="17">
      <c r="A17" s="29" t="n">
        <v>13</v>
      </c>
      <c r="B17" s="32" t="inlineStr">
        <is>
          <t>其他能源1</t>
        </is>
      </c>
      <c r="C17" s="35" t="inlineStr"/>
      <c r="D17" s="29" t="inlineStr"/>
      <c r="E17" s="36" t="n">
        <v>0</v>
      </c>
      <c r="F17" s="32" t="inlineStr"/>
      <c r="G17" s="36" t="n">
        <v>0</v>
      </c>
      <c r="H17" s="38" t="inlineStr"/>
      <c r="I17" s="32" t="inlineStr"/>
      <c r="J17" s="32" t="inlineStr"/>
    </row>
    <row r="18">
      <c r="A18" s="41" t="inlineStr">
        <is>
          <t>3.2 能源结构分析</t>
        </is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3" t="n"/>
    </row>
    <row r="19" ht="30" customHeight="1">
      <c r="A19" s="44" t="inlineStr">
        <is>
          <t>指标</t>
        </is>
      </c>
      <c r="B19" s="44" t="inlineStr">
        <is>
          <t>数值</t>
        </is>
      </c>
      <c r="C19" s="44" t="inlineStr">
        <is>
          <t>单位</t>
        </is>
      </c>
      <c r="D19" s="44" t="inlineStr">
        <is>
          <t>计算公式</t>
        </is>
      </c>
      <c r="E19" s="44" t="inlineStr">
        <is>
          <t>行业标准</t>
        </is>
      </c>
      <c r="F19" s="44" t="inlineStr">
        <is>
          <t>对标结果</t>
        </is>
      </c>
      <c r="G19" s="44" t="inlineStr"/>
      <c r="H19" s="44" t="inlineStr"/>
      <c r="I19" s="44" t="inlineStr"/>
      <c r="J19" s="44" t="inlineStr"/>
    </row>
    <row r="20">
      <c r="A20" s="45" t="inlineStr">
        <is>
          <t>一次能源消耗占比</t>
        </is>
      </c>
      <c r="B20" s="38" t="inlineStr"/>
      <c r="C20" s="35" t="inlineStr">
        <is>
          <t>%</t>
        </is>
      </c>
      <c r="D20" s="46">
        <f>（煤炭+天然气+石油类）/总能耗</f>
        <v/>
      </c>
      <c r="E20" s="47" t="inlineStr">
        <is>
          <t>-</t>
        </is>
      </c>
      <c r="F20" s="32" t="inlineStr"/>
      <c r="G20" s="36" t="inlineStr"/>
      <c r="H20" s="38" t="inlineStr"/>
      <c r="I20" s="32" t="inlineStr"/>
      <c r="J20" s="32" t="inlineStr"/>
    </row>
    <row r="21">
      <c r="A21" s="48" t="inlineStr">
        <is>
          <t>二次能源消耗占比</t>
        </is>
      </c>
      <c r="B21" s="49" t="inlineStr"/>
      <c r="C21" s="50" t="inlineStr">
        <is>
          <t>%</t>
        </is>
      </c>
      <c r="D21" s="51">
        <f>电力+热力/总能耗</f>
        <v/>
      </c>
      <c r="E21" s="52" t="inlineStr">
        <is>
          <t>-</t>
        </is>
      </c>
      <c r="F21" s="50" t="inlineStr"/>
      <c r="G21" s="50" t="inlineStr"/>
      <c r="H21" s="50" t="inlineStr"/>
      <c r="I21" s="50" t="inlineStr"/>
      <c r="J21" s="50" t="inlineStr"/>
    </row>
    <row r="22">
      <c r="A22" s="48" t="inlineStr">
        <is>
          <t>可再生能源占比</t>
        </is>
      </c>
      <c r="B22" s="49" t="inlineStr"/>
      <c r="C22" s="50" t="inlineStr">
        <is>
          <t>%</t>
        </is>
      </c>
      <c r="D22" s="51">
        <f>（绿电+地热+生物质）/总能耗</f>
        <v/>
      </c>
      <c r="E22" s="52" t="inlineStr">
        <is>
          <t>-</t>
        </is>
      </c>
      <c r="F22" s="50" t="inlineStr"/>
      <c r="G22" s="50" t="inlineStr"/>
      <c r="H22" s="50" t="inlineStr"/>
      <c r="I22" s="50" t="inlineStr"/>
      <c r="J22" s="50" t="inlineStr"/>
    </row>
    <row r="23">
      <c r="A23" s="48" t="inlineStr">
        <is>
          <t>化石能源占比</t>
        </is>
      </c>
      <c r="B23" s="49" t="inlineStr"/>
      <c r="C23" s="50" t="inlineStr">
        <is>
          <t>%</t>
        </is>
      </c>
      <c r="D23" s="51">
        <f>（煤炭+天然气+石油类）/总能耗</f>
        <v/>
      </c>
      <c r="E23" s="52" t="inlineStr">
        <is>
          <t>-</t>
        </is>
      </c>
      <c r="F23" s="50" t="inlineStr"/>
      <c r="G23" s="50" t="inlineStr"/>
      <c r="H23" s="50" t="inlineStr"/>
      <c r="I23" s="50" t="inlineStr"/>
      <c r="J23" s="50" t="inlineStr"/>
    </row>
    <row r="24">
      <c r="A24" s="48" t="inlineStr">
        <is>
          <t>清洁能源占比</t>
        </is>
      </c>
      <c r="B24" s="49" t="inlineStr"/>
      <c r="C24" s="50" t="inlineStr">
        <is>
          <t>%</t>
        </is>
      </c>
      <c r="D24" s="51">
        <f>（绿电+天然气+可再生能源）/总能耗</f>
        <v/>
      </c>
      <c r="E24" s="52" t="inlineStr">
        <is>
          <t>-</t>
        </is>
      </c>
      <c r="F24" s="50" t="inlineStr"/>
      <c r="G24" s="50" t="inlineStr"/>
      <c r="H24" s="50" t="inlineStr"/>
      <c r="I24" s="50" t="inlineStr"/>
      <c r="J24" s="50" t="inlineStr"/>
    </row>
    <row r="25">
      <c r="A25" s="48" t="inlineStr">
        <is>
          <t>综合能耗指标</t>
        </is>
      </c>
      <c r="B25" s="49" t="inlineStr"/>
      <c r="C25" s="50" t="inlineStr">
        <is>
          <t>kgce/m²</t>
        </is>
      </c>
      <c r="D25" s="51">
        <f>总折标准煤/建筑面积</f>
        <v/>
      </c>
      <c r="E25" s="52" t="inlineStr">
        <is>
          <t>&lt;0.5</t>
        </is>
      </c>
      <c r="F25" s="50" t="inlineStr"/>
      <c r="G25" s="50" t="inlineStr"/>
      <c r="H25" s="50" t="inlineStr"/>
      <c r="I25" s="50" t="inlineStr"/>
      <c r="J25" s="50" t="inlineStr"/>
    </row>
    <row r="26">
      <c r="A26" s="48" t="inlineStr">
        <is>
          <t>单位面积电力消耗</t>
        </is>
      </c>
      <c r="B26" s="49" t="inlineStr"/>
      <c r="C26" s="50" t="inlineStr">
        <is>
          <t>kWh/m²</t>
        </is>
      </c>
      <c r="D26" s="51">
        <f>总用电量/建筑面积</f>
        <v/>
      </c>
      <c r="E26" s="52" t="inlineStr">
        <is>
          <t>&lt;150</t>
        </is>
      </c>
      <c r="F26" s="50" t="inlineStr"/>
      <c r="G26" s="50" t="inlineStr"/>
      <c r="H26" s="50" t="inlineStr"/>
      <c r="I26" s="50" t="inlineStr"/>
      <c r="J26" s="50" t="inlineStr"/>
    </row>
    <row r="27">
      <c r="A27" s="48" t="inlineStr">
        <is>
          <t>人均综合能耗</t>
        </is>
      </c>
      <c r="B27" s="49" t="inlineStr"/>
      <c r="C27" s="50" t="inlineStr">
        <is>
          <t>kgce/人</t>
        </is>
      </c>
      <c r="D27" s="51">
        <f>总折标准煤/使用人数</f>
        <v/>
      </c>
      <c r="E27" s="52" t="inlineStr">
        <is>
          <t>&lt;50</t>
        </is>
      </c>
      <c r="F27" s="50" t="inlineStr"/>
      <c r="G27" s="50" t="inlineStr"/>
      <c r="H27" s="50" t="inlineStr"/>
      <c r="I27" s="50" t="inlineStr"/>
      <c r="J27" s="50" t="inlineStr"/>
    </row>
  </sheetData>
  <mergeCells count="3">
    <mergeCell ref="A1:J1"/>
    <mergeCell ref="A18:J18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3" t="inlineStr">
        <is>
          <t>运行阶段用能系统详细计算（15+系统类型）</t>
        </is>
      </c>
    </row>
    <row r="3">
      <c r="A3" s="53" t="inlineStr">
        <is>
          <t>4.1 暖通空调系统 - 冷源</t>
        </is>
      </c>
    </row>
    <row r="4" ht="30" customHeight="1">
      <c r="A4" s="54" t="inlineStr">
        <is>
          <t>参数项</t>
        </is>
      </c>
      <c r="B4" s="54" t="inlineStr">
        <is>
          <t>数值</t>
        </is>
      </c>
      <c r="C4" s="54" t="inlineStr">
        <is>
          <t>单位</t>
        </is>
      </c>
      <c r="D4" s="54" t="inlineStr">
        <is>
          <t>计算公式/说明</t>
        </is>
      </c>
      <c r="E4" s="54" t="inlineStr">
        <is>
          <t>年能耗(kWh)</t>
        </is>
      </c>
      <c r="F4" s="54" t="inlineStr">
        <is>
          <t>碳排放量(tCO₂)</t>
        </is>
      </c>
      <c r="G4" s="54" t="inlineStr">
        <is>
          <t>数据来源</t>
        </is>
      </c>
      <c r="H4" s="54" t="inlineStr">
        <is>
          <t>备注</t>
        </is>
      </c>
    </row>
    <row r="5">
      <c r="A5" s="32" t="inlineStr">
        <is>
          <t>年累计冷负荷</t>
        </is>
      </c>
      <c r="B5" s="30" t="inlineStr"/>
      <c r="C5" s="29" t="inlineStr">
        <is>
          <t>kWh</t>
        </is>
      </c>
      <c r="D5" s="55" t="inlineStr">
        <is>
          <t>按月平均方法计算，考虑建筑分区和气象参数</t>
        </is>
      </c>
    </row>
    <row r="6">
      <c r="A6" s="32" t="inlineStr">
        <is>
          <t>冷源系统能效比(COP)</t>
        </is>
      </c>
      <c r="B6" s="30" t="inlineStr"/>
      <c r="C6" s="29" t="inlineStr">
        <is>
          <t>-</t>
        </is>
      </c>
      <c r="D6" s="55" t="inlineStr">
        <is>
          <t>设计文件，通常3.5-6.0，变频系统可更高</t>
        </is>
      </c>
    </row>
    <row r="7">
      <c r="A7" s="32" t="inlineStr">
        <is>
          <t>冷源系统年运行时间</t>
        </is>
      </c>
      <c r="B7" s="30" t="inlineStr"/>
      <c r="C7" s="29" t="inlineStr">
        <is>
          <t>h</t>
        </is>
      </c>
      <c r="D7" s="55" t="inlineStr">
        <is>
          <t>实际运行小时数，可按供冷季计算</t>
        </is>
      </c>
    </row>
    <row r="8">
      <c r="A8" s="32" t="inlineStr">
        <is>
          <t>冷源系统年耗电量</t>
        </is>
      </c>
      <c r="B8" s="30" t="inlineStr"/>
      <c r="C8" s="29" t="inlineStr">
        <is>
          <t>kWh</t>
        </is>
      </c>
      <c r="D8" s="55">
        <f>冷负荷/COP</f>
        <v/>
      </c>
    </row>
    <row r="11">
      <c r="A11" s="56" t="inlineStr">
        <is>
          <t>4.2 暖通空调系统 - 热源</t>
        </is>
      </c>
    </row>
    <row r="12" ht="30" customHeight="1">
      <c r="A12" s="54" t="inlineStr">
        <is>
          <t>参数项</t>
        </is>
      </c>
      <c r="B12" s="54" t="inlineStr">
        <is>
          <t>数值</t>
        </is>
      </c>
      <c r="C12" s="54" t="inlineStr">
        <is>
          <t>单位</t>
        </is>
      </c>
      <c r="D12" s="54" t="inlineStr">
        <is>
          <t>计算公式/说明</t>
        </is>
      </c>
      <c r="E12" s="54" t="inlineStr">
        <is>
          <t>年能耗(kWh)</t>
        </is>
      </c>
      <c r="F12" s="54" t="inlineStr">
        <is>
          <t>碳排放量(tCO₂)</t>
        </is>
      </c>
      <c r="G12" s="54" t="inlineStr">
        <is>
          <t>数据来源</t>
        </is>
      </c>
      <c r="H12" s="54" t="inlineStr">
        <is>
          <t>备注</t>
        </is>
      </c>
    </row>
    <row r="13">
      <c r="A13" s="32" t="inlineStr">
        <is>
          <t>年累计热负荷</t>
        </is>
      </c>
      <c r="B13" s="30" t="inlineStr"/>
      <c r="C13" s="29" t="inlineStr">
        <is>
          <t>kWh</t>
        </is>
      </c>
      <c r="D13" s="55" t="inlineStr">
        <is>
          <t>按月平均方法计算，考虑建筑分区和气象参数</t>
        </is>
      </c>
    </row>
    <row r="14">
      <c r="A14" s="32" t="inlineStr">
        <is>
          <t>热源系统效率</t>
        </is>
      </c>
      <c r="B14" s="30" t="inlineStr"/>
      <c r="C14" s="29" t="inlineStr">
        <is>
          <t>%</t>
        </is>
      </c>
      <c r="D14" s="55" t="inlineStr">
        <is>
          <t>设计文件，燃气锅炉85-95%，电锅炉95-98%</t>
        </is>
      </c>
    </row>
    <row r="15">
      <c r="A15" s="32" t="inlineStr">
        <is>
          <t>热源系统年运行时间</t>
        </is>
      </c>
      <c r="B15" s="30" t="inlineStr"/>
      <c r="C15" s="29" t="inlineStr">
        <is>
          <t>h</t>
        </is>
      </c>
      <c r="D15" s="55" t="inlineStr">
        <is>
          <t>实际运行小时数，可按供暖季计算</t>
        </is>
      </c>
    </row>
    <row r="16">
      <c r="A16" s="32" t="inlineStr">
        <is>
          <t>热源系统年能耗</t>
        </is>
      </c>
      <c r="B16" s="30" t="inlineStr"/>
      <c r="C16" s="29" t="inlineStr">
        <is>
          <t>kWh或m³</t>
        </is>
      </c>
      <c r="D16" s="55">
        <f>热负荷/效率</f>
        <v/>
      </c>
    </row>
    <row r="19">
      <c r="A19" s="57" t="inlineStr">
        <is>
          <t>4.3 生活热水系统</t>
        </is>
      </c>
    </row>
    <row r="20" ht="30" customHeight="1">
      <c r="A20" s="54" t="inlineStr">
        <is>
          <t>参数项</t>
        </is>
      </c>
      <c r="B20" s="54" t="inlineStr">
        <is>
          <t>数值</t>
        </is>
      </c>
      <c r="C20" s="54" t="inlineStr">
        <is>
          <t>单位</t>
        </is>
      </c>
      <c r="D20" s="54" t="inlineStr">
        <is>
          <t>计算公式/说明</t>
        </is>
      </c>
      <c r="E20" s="54" t="inlineStr">
        <is>
          <t>年能耗(kWh)</t>
        </is>
      </c>
      <c r="F20" s="54" t="inlineStr">
        <is>
          <t>碳排放量(tCO₂)</t>
        </is>
      </c>
      <c r="G20" s="54" t="inlineStr">
        <is>
          <t>数据来源</t>
        </is>
      </c>
      <c r="H20" s="54" t="inlineStr">
        <is>
          <t>备注</t>
        </is>
      </c>
    </row>
    <row r="21">
      <c r="A21" s="32" t="inlineStr">
        <is>
          <t>用水计算单位数(人数或床位数)</t>
        </is>
      </c>
      <c r="B21" s="30" t="inlineStr"/>
      <c r="C21" s="29" t="inlineStr">
        <is>
          <t>人/床</t>
        </is>
      </c>
      <c r="D21" s="55" t="inlineStr">
        <is>
          <t>实际使用人数</t>
        </is>
      </c>
    </row>
    <row r="22">
      <c r="A22" s="32" t="inlineStr">
        <is>
          <t>热水用水定额</t>
        </is>
      </c>
      <c r="B22" s="30" t="inlineStr"/>
      <c r="C22" s="29" t="inlineStr">
        <is>
          <t>L/人·天</t>
        </is>
      </c>
      <c r="D22" s="55" t="inlineStr">
        <is>
          <t>GB50555规定，办公40-60L/人·班</t>
        </is>
      </c>
    </row>
    <row r="23">
      <c r="A23" s="32" t="inlineStr">
        <is>
          <t>设计热水温度</t>
        </is>
      </c>
      <c r="B23" s="30" t="n">
        <v>60</v>
      </c>
      <c r="C23" s="29" t="inlineStr">
        <is>
          <t>°C</t>
        </is>
      </c>
      <c r="D23" s="55" t="inlineStr">
        <is>
          <t>通常55-60°C</t>
        </is>
      </c>
    </row>
    <row r="24">
      <c r="A24" s="32" t="inlineStr">
        <is>
          <t>设计冷水温度</t>
        </is>
      </c>
      <c r="B24" s="30" t="inlineStr"/>
      <c r="C24" s="29" t="inlineStr">
        <is>
          <t>°C</t>
        </is>
      </c>
      <c r="D24" s="55" t="inlineStr">
        <is>
          <t>当地冷水温度，北京取10°C</t>
        </is>
      </c>
    </row>
    <row r="25">
      <c r="A25" s="32" t="inlineStr">
        <is>
          <t>年使用小时数</t>
        </is>
      </c>
      <c r="B25" s="30" t="inlineStr"/>
      <c r="C25" s="29" t="inlineStr">
        <is>
          <t>h</t>
        </is>
      </c>
      <c r="D25" s="55" t="inlineStr">
        <is>
          <t>实际运行时间</t>
        </is>
      </c>
    </row>
    <row r="26">
      <c r="A26" s="32" t="inlineStr">
        <is>
          <t>小时平均耗热量</t>
        </is>
      </c>
      <c r="B26" s="30" t="inlineStr"/>
      <c r="C26" s="29" t="inlineStr">
        <is>
          <t>kWh</t>
        </is>
      </c>
      <c r="D26" s="55">
        <f>4.187×人数×定额×(热水温度-冷水温度)×密度/1000</f>
        <v/>
      </c>
    </row>
    <row r="27">
      <c r="A27" s="32" t="inlineStr">
        <is>
          <t>年耗热量</t>
        </is>
      </c>
      <c r="B27" s="30" t="inlineStr"/>
      <c r="C27" s="29" t="inlineStr">
        <is>
          <t>kWh</t>
        </is>
      </c>
      <c r="D27" s="55">
        <f>小时平均耗热量×年使用小时数</f>
        <v/>
      </c>
    </row>
    <row r="28">
      <c r="A28" s="32" t="inlineStr">
        <is>
          <t>生活热水系统年能耗</t>
        </is>
      </c>
      <c r="B28" s="30" t="inlineStr"/>
      <c r="C28" s="29" t="inlineStr">
        <is>
          <t>kWh</t>
        </is>
      </c>
      <c r="D28" s="55">
        <f>年耗热量/效率</f>
        <v/>
      </c>
    </row>
    <row r="31">
      <c r="A31" s="57" t="inlineStr">
        <is>
          <t>4.4 照明系统</t>
        </is>
      </c>
    </row>
    <row r="32" ht="30" customHeight="1">
      <c r="A32" s="54" t="inlineStr">
        <is>
          <t>参数项</t>
        </is>
      </c>
      <c r="B32" s="54" t="inlineStr">
        <is>
          <t>数值</t>
        </is>
      </c>
      <c r="C32" s="54" t="inlineStr">
        <is>
          <t>单位</t>
        </is>
      </c>
      <c r="D32" s="54" t="inlineStr">
        <is>
          <t>计算公式/说明</t>
        </is>
      </c>
      <c r="E32" s="54" t="inlineStr">
        <is>
          <t>年能耗(kWh)</t>
        </is>
      </c>
      <c r="F32" s="54" t="inlineStr">
        <is>
          <t>碳排放量(tCO₂)</t>
        </is>
      </c>
      <c r="G32" s="54" t="inlineStr">
        <is>
          <t>数据来源</t>
        </is>
      </c>
      <c r="H32" s="54" t="inlineStr">
        <is>
          <t>备注</t>
        </is>
      </c>
    </row>
    <row r="33">
      <c r="A33" s="32" t="inlineStr">
        <is>
          <t>办公室面积</t>
        </is>
      </c>
      <c r="B33" s="30" t="inlineStr"/>
      <c r="C33" s="29" t="inlineStr">
        <is>
          <t>m²</t>
        </is>
      </c>
      <c r="D33" s="55" t="inlineStr">
        <is>
          <t>实际照明面积</t>
        </is>
      </c>
    </row>
    <row r="34">
      <c r="A34" s="32" t="inlineStr">
        <is>
          <t>办公室照明功率密度</t>
        </is>
      </c>
      <c r="B34" s="30" t="inlineStr"/>
      <c r="C34" s="29" t="inlineStr">
        <is>
          <t>W/m²</t>
        </is>
      </c>
      <c r="D34" s="55" t="inlineStr">
        <is>
          <t>按GB50034设计</t>
        </is>
      </c>
    </row>
    <row r="35">
      <c r="A35" s="32" t="inlineStr">
        <is>
          <t>办公室日照明时间</t>
        </is>
      </c>
      <c r="B35" s="30" t="inlineStr"/>
      <c r="C35" s="29" t="inlineStr">
        <is>
          <t>h</t>
        </is>
      </c>
      <c r="D35" s="55" t="inlineStr">
        <is>
          <t>实际运行时间</t>
        </is>
      </c>
    </row>
    <row r="36">
      <c r="A36" s="32" t="inlineStr">
        <is>
          <t>照明系统年能耗</t>
        </is>
      </c>
      <c r="B36" s="30" t="inlineStr"/>
      <c r="C36" s="29" t="inlineStr">
        <is>
          <t>kWh</t>
        </is>
      </c>
      <c r="D36" s="55">
        <f>面积×功率密度×时间×天数/1000</f>
        <v/>
      </c>
    </row>
    <row r="39">
      <c r="A39" s="53" t="inlineStr">
        <is>
          <t>4.5 电梯系统</t>
        </is>
      </c>
    </row>
    <row r="40" ht="30" customHeight="1">
      <c r="A40" s="54" t="inlineStr">
        <is>
          <t>参数项</t>
        </is>
      </c>
      <c r="B40" s="54" t="inlineStr">
        <is>
          <t>数值</t>
        </is>
      </c>
      <c r="C40" s="54" t="inlineStr">
        <is>
          <t>单位</t>
        </is>
      </c>
      <c r="D40" s="54" t="inlineStr">
        <is>
          <t>计算公式/说明</t>
        </is>
      </c>
      <c r="E40" s="54" t="inlineStr">
        <is>
          <t>年能耗(kWh)</t>
        </is>
      </c>
      <c r="F40" s="54" t="inlineStr">
        <is>
          <t>碳排放量(tCO₂)</t>
        </is>
      </c>
      <c r="G40" s="54" t="inlineStr">
        <is>
          <t>数据来源</t>
        </is>
      </c>
      <c r="H40" s="54" t="inlineStr">
        <is>
          <t>备注</t>
        </is>
      </c>
    </row>
    <row r="41">
      <c r="A41" s="32" t="inlineStr">
        <is>
          <t>电梯数量</t>
        </is>
      </c>
      <c r="B41" s="30" t="inlineStr"/>
      <c r="C41" s="29" t="inlineStr">
        <is>
          <t>台</t>
        </is>
      </c>
      <c r="D41" s="55" t="inlineStr">
        <is>
          <t>客梯+货梯总数</t>
        </is>
      </c>
    </row>
    <row r="42">
      <c r="A42" s="32" t="inlineStr">
        <is>
          <t>额定载重量</t>
        </is>
      </c>
      <c r="B42" s="30" t="inlineStr"/>
      <c r="C42" s="29" t="inlineStr">
        <is>
          <t>kg</t>
        </is>
      </c>
      <c r="D42" s="55" t="inlineStr">
        <is>
          <t>设备铭牌</t>
        </is>
      </c>
    </row>
    <row r="43">
      <c r="A43" s="32" t="inlineStr">
        <is>
          <t>速度</t>
        </is>
      </c>
      <c r="B43" s="30" t="inlineStr"/>
      <c r="C43" s="29" t="inlineStr">
        <is>
          <t>m/s</t>
        </is>
      </c>
      <c r="D43" s="55" t="inlineStr">
        <is>
          <t>设备铭牌</t>
        </is>
      </c>
    </row>
    <row r="44">
      <c r="A44" s="32" t="inlineStr">
        <is>
          <t>年运行时间</t>
        </is>
      </c>
      <c r="B44" s="30" t="inlineStr"/>
      <c r="C44" s="29" t="inlineStr">
        <is>
          <t>h</t>
        </is>
      </c>
      <c r="D44" s="55" t="inlineStr">
        <is>
          <t>实际运行小时数</t>
        </is>
      </c>
    </row>
    <row r="45">
      <c r="A45" s="32" t="inlineStr">
        <is>
          <t>电梯系统年能耗</t>
        </is>
      </c>
      <c r="B45" s="30" t="inlineStr"/>
      <c r="C45" s="29" t="inlineStr">
        <is>
          <t>kWh</t>
        </is>
      </c>
      <c r="D45" s="55">
        <f>3.6×P×ta×V×W/1000</f>
        <v/>
      </c>
    </row>
    <row r="48">
      <c r="A48" s="58" t="inlineStr">
        <is>
          <t>4.6 数据中心/机房</t>
        </is>
      </c>
    </row>
    <row r="49" ht="30" customHeight="1">
      <c r="A49" s="54" t="inlineStr">
        <is>
          <t>参数项</t>
        </is>
      </c>
      <c r="B49" s="54" t="inlineStr">
        <is>
          <t>数值</t>
        </is>
      </c>
      <c r="C49" s="54" t="inlineStr">
        <is>
          <t>单位</t>
        </is>
      </c>
      <c r="D49" s="54" t="inlineStr">
        <is>
          <t>计算公式/说明</t>
        </is>
      </c>
      <c r="E49" s="54" t="inlineStr">
        <is>
          <t>年能耗(kWh)</t>
        </is>
      </c>
      <c r="F49" s="54" t="inlineStr">
        <is>
          <t>碳排放量(tCO₂)</t>
        </is>
      </c>
      <c r="G49" s="54" t="inlineStr">
        <is>
          <t>数据来源</t>
        </is>
      </c>
      <c r="H49" s="54" t="inlineStr">
        <is>
          <t>备注</t>
        </is>
      </c>
    </row>
    <row r="50">
      <c r="A50" s="32" t="inlineStr">
        <is>
          <t>IT设备总功率</t>
        </is>
      </c>
      <c r="B50" s="30" t="inlineStr"/>
      <c r="C50" s="29" t="inlineStr">
        <is>
          <t>kW</t>
        </is>
      </c>
      <c r="D50" s="55" t="inlineStr">
        <is>
          <t>服务器、存储、网络设备等</t>
        </is>
      </c>
    </row>
    <row r="51">
      <c r="A51" s="32" t="inlineStr">
        <is>
          <t>数据中心PUE值</t>
        </is>
      </c>
      <c r="B51" s="30" t="inlineStr"/>
      <c r="C51" s="29" t="inlineStr">
        <is>
          <t>-</t>
        </is>
      </c>
      <c r="D51" s="55" t="inlineStr">
        <is>
          <t>Power Usage Effectiveness，通常1.5-2.5</t>
        </is>
      </c>
    </row>
    <row r="52">
      <c r="A52" s="32" t="inlineStr">
        <is>
          <t>年运行时间</t>
        </is>
      </c>
      <c r="B52" s="30" t="n">
        <v>8760</v>
      </c>
      <c r="C52" s="29" t="inlineStr">
        <is>
          <t>h</t>
        </is>
      </c>
      <c r="D52" s="55" t="inlineStr">
        <is>
          <t>数据中心通常24×7运行</t>
        </is>
      </c>
    </row>
    <row r="53">
      <c r="A53" s="32" t="inlineStr">
        <is>
          <t>数据中心年耗电量</t>
        </is>
      </c>
      <c r="B53" s="30" t="inlineStr"/>
      <c r="C53" s="29" t="inlineStr">
        <is>
          <t>kWh</t>
        </is>
      </c>
      <c r="D53" s="55">
        <f>IT设备功率×PUE×运行时间</f>
        <v/>
      </c>
    </row>
    <row r="56">
      <c r="A56" s="59" t="inlineStr">
        <is>
          <t>4.7 可再生能源 - 光伏</t>
        </is>
      </c>
    </row>
    <row r="57" ht="30" customHeight="1">
      <c r="A57" s="54" t="inlineStr">
        <is>
          <t>参数项</t>
        </is>
      </c>
      <c r="B57" s="54" t="inlineStr">
        <is>
          <t>数值</t>
        </is>
      </c>
      <c r="C57" s="54" t="inlineStr">
        <is>
          <t>单位</t>
        </is>
      </c>
      <c r="D57" s="54" t="inlineStr">
        <is>
          <t>计算公式/说明</t>
        </is>
      </c>
      <c r="E57" s="54" t="inlineStr">
        <is>
          <t>年能耗(kWh)</t>
        </is>
      </c>
      <c r="F57" s="54" t="inlineStr">
        <is>
          <t>碳排放量(tCO₂)</t>
        </is>
      </c>
      <c r="G57" s="54" t="inlineStr">
        <is>
          <t>数据来源</t>
        </is>
      </c>
      <c r="H57" s="54" t="inlineStr">
        <is>
          <t>备注</t>
        </is>
      </c>
    </row>
    <row r="58">
      <c r="A58" s="32" t="inlineStr">
        <is>
          <t>光伏面板净面积(Ap)</t>
        </is>
      </c>
      <c r="B58" s="30" t="inlineStr"/>
      <c r="C58" s="29" t="inlineStr">
        <is>
          <t>m²</t>
        </is>
      </c>
      <c r="D58" s="55" t="inlineStr">
        <is>
          <t>设计文件，实际安装面积</t>
        </is>
      </c>
    </row>
    <row r="59">
      <c r="A59" s="32" t="inlineStr">
        <is>
          <t>年太阳辐射照度(I)</t>
        </is>
      </c>
      <c r="B59" s="30" t="inlineStr"/>
      <c r="C59" s="29" t="inlineStr">
        <is>
          <t>kWh/m²</t>
        </is>
      </c>
      <c r="D59" s="55" t="inlineStr">
        <is>
          <t>当地气象数据，北京约1400</t>
        </is>
      </c>
    </row>
    <row r="60">
      <c r="A60" s="32" t="inlineStr">
        <is>
          <t>光电转换效率(KE)</t>
        </is>
      </c>
      <c r="B60" s="30" t="inlineStr"/>
      <c r="C60" s="29" t="inlineStr">
        <is>
          <t>%</t>
        </is>
      </c>
      <c r="D60" s="55" t="inlineStr">
        <is>
          <t>单晶硅15-20%，多晶硅13-17%</t>
        </is>
      </c>
    </row>
    <row r="61">
      <c r="A61" s="32" t="inlineStr">
        <is>
          <t>系统损失效率(KS)</t>
        </is>
      </c>
      <c r="B61" s="30" t="inlineStr"/>
      <c r="C61" s="29" t="inlineStr">
        <is>
          <t>%</t>
        </is>
      </c>
      <c r="D61" s="55" t="inlineStr">
        <is>
          <t>通常15-25%，含线损、灰尘等</t>
        </is>
      </c>
    </row>
    <row r="62">
      <c r="A62" s="32" t="inlineStr">
        <is>
          <t>光伏系统年发电量</t>
        </is>
      </c>
      <c r="B62" s="30" t="inlineStr"/>
      <c r="C62" s="29" t="inlineStr">
        <is>
          <t>kWh</t>
        </is>
      </c>
      <c r="D62" s="55">
        <f>Ap×I×KE×(1-KS)</f>
        <v/>
      </c>
    </row>
    <row r="63">
      <c r="A63" s="32" t="inlineStr">
        <is>
          <t>光伏系统年减碳量</t>
        </is>
      </c>
      <c r="B63" s="30" t="inlineStr"/>
      <c r="C63" s="29" t="inlineStr">
        <is>
          <t>tCO₂</t>
        </is>
      </c>
      <c r="D63" s="55">
        <f>发电量×电网排放因子</f>
        <v/>
      </c>
    </row>
  </sheetData>
  <mergeCells count="8">
    <mergeCell ref="A19:L19"/>
    <mergeCell ref="A11:L11"/>
    <mergeCell ref="A1:L1"/>
    <mergeCell ref="A31:L31"/>
    <mergeCell ref="A56:L56"/>
    <mergeCell ref="A3:L3"/>
    <mergeCell ref="A39:L39"/>
    <mergeCell ref="A48:L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4336"/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25" customWidth="1" min="5" max="5"/>
    <col width="22" customWidth="1" min="6" max="6"/>
    <col width="22" customWidth="1" min="7" max="7"/>
    <col width="15" customWidth="1" min="8" max="8"/>
    <col width="20" customWidth="1" min="9" max="9"/>
    <col width="20" customWidth="1" min="10" max="10"/>
  </cols>
  <sheetData>
    <row r="1">
      <c r="A1" s="33" t="inlineStr">
        <is>
          <t>建材生产及运输阶段碳排放计算（50+建材类型，含回收利用）</t>
        </is>
      </c>
    </row>
    <row r="3">
      <c r="A3" s="26" t="inlineStr">
        <is>
          <t>5.1 建材生产阶段碳排放计算（基于GB/T 51366-2019第6章）</t>
        </is>
      </c>
    </row>
    <row r="4" ht="30" customHeight="1">
      <c r="A4" s="60" t="inlineStr">
        <is>
          <t>序号</t>
        </is>
      </c>
      <c r="B4" s="60" t="inlineStr">
        <is>
          <t>建材大类</t>
        </is>
      </c>
      <c r="C4" s="60" t="inlineStr">
        <is>
          <t>建材名称</t>
        </is>
      </c>
      <c r="D4" s="60" t="inlineStr">
        <is>
          <t>规格型号</t>
        </is>
      </c>
      <c r="E4" s="60" t="inlineStr">
        <is>
          <t>消耗量</t>
        </is>
      </c>
      <c r="F4" s="60" t="inlineStr">
        <is>
          <t>单位</t>
        </is>
      </c>
      <c r="G4" s="60" t="inlineStr">
        <is>
          <t>碳排放因子
(kgCO₂e/单位)</t>
        </is>
      </c>
      <c r="H4" s="60" t="inlineStr">
        <is>
          <t>碳排放量
(tCO₂e)</t>
        </is>
      </c>
      <c r="I4" s="60" t="inlineStr">
        <is>
          <t>数据来源</t>
        </is>
      </c>
      <c r="J4" s="60" t="inlineStr">
        <is>
          <t>是否可回收</t>
        </is>
      </c>
      <c r="K4" s="60" t="inlineStr">
        <is>
          <t>回收比例(%)</t>
        </is>
      </c>
      <c r="L4" s="60" t="inlineStr">
        <is>
          <t>备注</t>
        </is>
      </c>
    </row>
    <row r="5">
      <c r="A5" s="29" t="n">
        <v>1</v>
      </c>
      <c r="B5" s="32" t="inlineStr">
        <is>
          <t>结构材料</t>
        </is>
      </c>
      <c r="C5" s="32" t="inlineStr">
        <is>
          <t>钢筋(HRB400)</t>
        </is>
      </c>
      <c r="D5" s="32" t="inlineStr">
        <is>
          <t>HRB400</t>
        </is>
      </c>
      <c r="E5" s="35" t="inlineStr"/>
      <c r="F5" s="29" t="inlineStr">
        <is>
          <t>t</t>
        </is>
      </c>
      <c r="G5" s="36" t="n">
        <v>2033</v>
      </c>
      <c r="H5" s="61">
        <f>IF(E5="","",E5*G5*(1-IF(K5="",0,K5/100))/1000)</f>
        <v/>
      </c>
      <c r="I5" s="32" t="inlineStr">
        <is>
          <t>采购清单</t>
        </is>
      </c>
      <c r="J5" s="36" t="inlineStr">
        <is>
          <t>是</t>
        </is>
      </c>
      <c r="K5" s="36" t="inlineStr"/>
      <c r="L5" s="32" t="inlineStr"/>
    </row>
    <row r="6">
      <c r="A6" s="29" t="n">
        <v>2</v>
      </c>
      <c r="B6" s="32" t="inlineStr">
        <is>
          <t>结构材料</t>
        </is>
      </c>
      <c r="C6" s="32" t="inlineStr">
        <is>
          <t>钢筋(HRB500)</t>
        </is>
      </c>
      <c r="D6" s="32" t="inlineStr">
        <is>
          <t>HRB500</t>
        </is>
      </c>
      <c r="E6" s="35" t="inlineStr"/>
      <c r="F6" s="29" t="inlineStr">
        <is>
          <t>t</t>
        </is>
      </c>
      <c r="G6" s="36" t="n">
        <v>2050</v>
      </c>
      <c r="H6" s="61">
        <f>IF(E6="","",E6*G6*(1-IF(K6="",0,K6/100))/1000)</f>
        <v/>
      </c>
      <c r="I6" s="32" t="inlineStr">
        <is>
          <t>采购清单</t>
        </is>
      </c>
      <c r="J6" s="36" t="inlineStr">
        <is>
          <t>是</t>
        </is>
      </c>
      <c r="K6" s="36" t="inlineStr"/>
      <c r="L6" s="32" t="inlineStr">
        <is>
          <t>高强钢筋</t>
        </is>
      </c>
    </row>
    <row r="7">
      <c r="A7" s="29" t="n">
        <v>3</v>
      </c>
      <c r="B7" s="32" t="inlineStr">
        <is>
          <t>结构材料</t>
        </is>
      </c>
      <c r="C7" s="32" t="inlineStr">
        <is>
          <t>型钢</t>
        </is>
      </c>
      <c r="D7" s="32" t="inlineStr">
        <is>
          <t>Q235/Q345</t>
        </is>
      </c>
      <c r="E7" s="35" t="inlineStr"/>
      <c r="F7" s="29" t="inlineStr">
        <is>
          <t>t</t>
        </is>
      </c>
      <c r="G7" s="36" t="n">
        <v>2100</v>
      </c>
      <c r="H7" s="61">
        <f>IF(E7="","",E7*G7*(1-IF(K7="",0,K7/100))/1000)</f>
        <v/>
      </c>
      <c r="I7" s="32" t="inlineStr">
        <is>
          <t>采购清单</t>
        </is>
      </c>
      <c r="J7" s="36" t="inlineStr">
        <is>
          <t>是</t>
        </is>
      </c>
      <c r="K7" s="36" t="inlineStr"/>
      <c r="L7" s="32" t="inlineStr">
        <is>
          <t>钢结构</t>
        </is>
      </c>
    </row>
    <row r="8">
      <c r="A8" s="29" t="n">
        <v>4</v>
      </c>
      <c r="B8" s="32" t="inlineStr">
        <is>
          <t>结构材料</t>
        </is>
      </c>
      <c r="C8" s="32" t="inlineStr">
        <is>
          <t>混凝土(C20)</t>
        </is>
      </c>
      <c r="D8" s="32" t="inlineStr">
        <is>
          <t>C20</t>
        </is>
      </c>
      <c r="E8" s="35" t="inlineStr"/>
      <c r="F8" s="29" t="inlineStr">
        <is>
          <t>m³</t>
        </is>
      </c>
      <c r="G8" s="36" t="n">
        <v>280</v>
      </c>
      <c r="H8" s="61">
        <f>IF(E8="","",E8*G8*(1-IF(K8="",0,K8/100))/1000)</f>
        <v/>
      </c>
      <c r="I8" s="32" t="inlineStr">
        <is>
          <t>采购清单</t>
        </is>
      </c>
      <c r="J8" s="36" t="inlineStr">
        <is>
          <t>部分</t>
        </is>
      </c>
      <c r="K8" s="36" t="inlineStr"/>
      <c r="L8" s="32" t="inlineStr">
        <is>
          <t>基础/垫层</t>
        </is>
      </c>
    </row>
    <row r="9">
      <c r="A9" s="29" t="n">
        <v>5</v>
      </c>
      <c r="B9" s="32" t="inlineStr">
        <is>
          <t>结构材料</t>
        </is>
      </c>
      <c r="C9" s="32" t="inlineStr">
        <is>
          <t>混凝土(C30)</t>
        </is>
      </c>
      <c r="D9" s="32" t="inlineStr">
        <is>
          <t>C30</t>
        </is>
      </c>
      <c r="E9" s="35" t="inlineStr"/>
      <c r="F9" s="29" t="inlineStr">
        <is>
          <t>m³</t>
        </is>
      </c>
      <c r="G9" s="36" t="n">
        <v>320</v>
      </c>
      <c r="H9" s="61">
        <f>IF(E9="","",E9*G9*(1-IF(K9="",0,K9/100))/1000)</f>
        <v/>
      </c>
      <c r="I9" s="32" t="inlineStr">
        <is>
          <t>采购清单</t>
        </is>
      </c>
      <c r="J9" s="36" t="inlineStr">
        <is>
          <t>部分</t>
        </is>
      </c>
      <c r="K9" s="36" t="inlineStr"/>
      <c r="L9" s="32" t="inlineStr">
        <is>
          <t>梁板柱</t>
        </is>
      </c>
    </row>
    <row r="10">
      <c r="A10" s="29" t="n">
        <v>6</v>
      </c>
      <c r="B10" s="32" t="inlineStr">
        <is>
          <t>结构材料</t>
        </is>
      </c>
      <c r="C10" s="32" t="inlineStr">
        <is>
          <t>混凝土(C40)</t>
        </is>
      </c>
      <c r="D10" s="32" t="inlineStr">
        <is>
          <t>C40</t>
        </is>
      </c>
      <c r="E10" s="35" t="inlineStr"/>
      <c r="F10" s="29" t="inlineStr">
        <is>
          <t>m³</t>
        </is>
      </c>
      <c r="G10" s="36" t="n">
        <v>350</v>
      </c>
      <c r="H10" s="61">
        <f>IF(E10="","",E10*G10*(1-IF(K10="",0,K10/100))/1000)</f>
        <v/>
      </c>
      <c r="I10" s="32" t="inlineStr">
        <is>
          <t>采购清单</t>
        </is>
      </c>
      <c r="J10" s="36" t="inlineStr">
        <is>
          <t>部分</t>
        </is>
      </c>
      <c r="K10" s="36" t="inlineStr"/>
      <c r="L10" s="32" t="inlineStr">
        <is>
          <t>高层建筑</t>
        </is>
      </c>
    </row>
    <row r="11">
      <c r="A11" s="29" t="n">
        <v>7</v>
      </c>
      <c r="B11" s="32" t="inlineStr">
        <is>
          <t>结构材料</t>
        </is>
      </c>
      <c r="C11" s="32" t="inlineStr">
        <is>
          <t>混凝土(C50+)</t>
        </is>
      </c>
      <c r="D11" s="32" t="inlineStr">
        <is>
          <t>C50-C60</t>
        </is>
      </c>
      <c r="E11" s="35" t="inlineStr"/>
      <c r="F11" s="29" t="inlineStr">
        <is>
          <t>m³</t>
        </is>
      </c>
      <c r="G11" s="36" t="n">
        <v>380</v>
      </c>
      <c r="H11" s="61">
        <f>IF(E11="","",E11*G11*(1-IF(K11="",0,K11/100))/1000)</f>
        <v/>
      </c>
      <c r="I11" s="32" t="inlineStr">
        <is>
          <t>采购清单</t>
        </is>
      </c>
      <c r="J11" s="36" t="inlineStr">
        <is>
          <t>部分</t>
        </is>
      </c>
      <c r="K11" s="36" t="inlineStr"/>
      <c r="L11" s="32" t="inlineStr">
        <is>
          <t>预应力</t>
        </is>
      </c>
    </row>
    <row r="12">
      <c r="A12" s="29" t="n">
        <v>8</v>
      </c>
      <c r="B12" s="32" t="inlineStr">
        <is>
          <t>结构材料</t>
        </is>
      </c>
      <c r="C12" s="32" t="inlineStr">
        <is>
          <t>预应力钢绞线</t>
        </is>
      </c>
      <c r="D12" s="32" t="inlineStr">
        <is>
          <t>1860MPa</t>
        </is>
      </c>
      <c r="E12" s="35" t="inlineStr"/>
      <c r="F12" s="29" t="inlineStr">
        <is>
          <t>t</t>
        </is>
      </c>
      <c r="G12" s="36" t="n">
        <v>2200</v>
      </c>
      <c r="H12" s="61">
        <f>IF(E12="","",E12*G12*(1-IF(K12="",0,K12/100))/1000)</f>
        <v/>
      </c>
      <c r="I12" s="32" t="inlineStr">
        <is>
          <t>采购清单</t>
        </is>
      </c>
      <c r="J12" s="36" t="inlineStr">
        <is>
          <t>是</t>
        </is>
      </c>
      <c r="K12" s="36" t="inlineStr"/>
      <c r="L12" s="32" t="inlineStr">
        <is>
          <t>预应力结构</t>
        </is>
      </c>
    </row>
    <row r="13">
      <c r="A13" s="29" t="n">
        <v>9</v>
      </c>
      <c r="B13" s="32" t="inlineStr">
        <is>
          <t>围护材料</t>
        </is>
      </c>
      <c r="C13" s="32" t="inlineStr">
        <is>
          <t>普通粘土砖</t>
        </is>
      </c>
      <c r="D13" s="32" t="inlineStr">
        <is>
          <t>MU10</t>
        </is>
      </c>
      <c r="E13" s="35" t="inlineStr"/>
      <c r="F13" s="29" t="inlineStr">
        <is>
          <t>千块</t>
        </is>
      </c>
      <c r="G13" s="36" t="n">
        <v>270</v>
      </c>
      <c r="H13" s="61">
        <f>IF(E13="","",E13*G13*(1-IF(K13="",0,K13/100))/1000)</f>
        <v/>
      </c>
      <c r="I13" s="32" t="inlineStr">
        <is>
          <t>采购清单</t>
        </is>
      </c>
      <c r="J13" s="36" t="inlineStr">
        <is>
          <t>部分</t>
        </is>
      </c>
      <c r="K13" s="36" t="inlineStr"/>
      <c r="L13" s="32" t="inlineStr"/>
    </row>
    <row r="14">
      <c r="A14" s="29" t="n">
        <v>10</v>
      </c>
      <c r="B14" s="32" t="inlineStr">
        <is>
          <t>围护材料</t>
        </is>
      </c>
      <c r="C14" s="32" t="inlineStr">
        <is>
          <t>混凝土多孔砖</t>
        </is>
      </c>
      <c r="D14" s="32" t="inlineStr">
        <is>
          <t>MU15</t>
        </is>
      </c>
      <c r="E14" s="35" t="inlineStr"/>
      <c r="F14" s="29" t="inlineStr">
        <is>
          <t>千块</t>
        </is>
      </c>
      <c r="G14" s="36" t="n">
        <v>250</v>
      </c>
      <c r="H14" s="61">
        <f>IF(E14="","",E14*G14*(1-IF(K14="",0,K14/100))/1000)</f>
        <v/>
      </c>
      <c r="I14" s="32" t="inlineStr">
        <is>
          <t>采购清单</t>
        </is>
      </c>
      <c r="J14" s="36" t="inlineStr">
        <is>
          <t>部分</t>
        </is>
      </c>
      <c r="K14" s="36" t="inlineStr"/>
      <c r="L14" s="32" t="inlineStr"/>
    </row>
    <row r="15">
      <c r="A15" s="29" t="n">
        <v>11</v>
      </c>
      <c r="B15" s="32" t="inlineStr">
        <is>
          <t>围护材料</t>
        </is>
      </c>
      <c r="C15" s="32" t="inlineStr">
        <is>
          <t>加气混凝土砌块</t>
        </is>
      </c>
      <c r="D15" s="32" t="inlineStr">
        <is>
          <t>B06</t>
        </is>
      </c>
      <c r="E15" s="35" t="inlineStr"/>
      <c r="F15" s="29" t="inlineStr">
        <is>
          <t>m³</t>
        </is>
      </c>
      <c r="G15" s="36" t="n">
        <v>225</v>
      </c>
      <c r="H15" s="61">
        <f>IF(E15="","",E15*G15*(1-IF(K15="",0,K15/100))/1000)</f>
        <v/>
      </c>
      <c r="I15" s="32" t="inlineStr">
        <is>
          <t>采购清单</t>
        </is>
      </c>
      <c r="J15" s="36" t="inlineStr">
        <is>
          <t>部分</t>
        </is>
      </c>
      <c r="K15" s="36" t="inlineStr"/>
      <c r="L15" s="32" t="inlineStr">
        <is>
          <t>轻质墙体</t>
        </is>
      </c>
    </row>
    <row r="16">
      <c r="A16" s="29" t="n">
        <v>12</v>
      </c>
      <c r="B16" s="32" t="inlineStr">
        <is>
          <t>围护材料</t>
        </is>
      </c>
      <c r="C16" s="32" t="inlineStr">
        <is>
          <t>陶粒混凝土砌块</t>
        </is>
      </c>
      <c r="D16" s="32" t="inlineStr"/>
      <c r="E16" s="35" t="inlineStr"/>
      <c r="F16" s="29" t="inlineStr">
        <is>
          <t>m³</t>
        </is>
      </c>
      <c r="G16" s="36" t="n">
        <v>240</v>
      </c>
      <c r="H16" s="61">
        <f>IF(E16="","",E16*G16*(1-IF(K16="",0,K16/100))/1000)</f>
        <v/>
      </c>
      <c r="I16" s="32" t="inlineStr">
        <is>
          <t>采购清单</t>
        </is>
      </c>
      <c r="J16" s="36" t="inlineStr">
        <is>
          <t>部分</t>
        </is>
      </c>
      <c r="K16" s="36" t="inlineStr"/>
      <c r="L16" s="32" t="inlineStr"/>
    </row>
    <row r="17">
      <c r="A17" s="29" t="n">
        <v>13</v>
      </c>
      <c r="B17" s="32" t="inlineStr">
        <is>
          <t>围护材料</t>
        </is>
      </c>
      <c r="C17" s="32" t="inlineStr">
        <is>
          <t>石膏板</t>
        </is>
      </c>
      <c r="D17" s="32" t="inlineStr">
        <is>
          <t>12mm</t>
        </is>
      </c>
      <c r="E17" s="35" t="inlineStr"/>
      <c r="F17" s="29" t="inlineStr">
        <is>
          <t>m²</t>
        </is>
      </c>
      <c r="G17" s="36" t="n">
        <v>3.5</v>
      </c>
      <c r="H17" s="61">
        <f>IF(E17="","",E17*G17*(1-IF(K17="",0,K17/100))/1000)</f>
        <v/>
      </c>
      <c r="I17" s="32" t="inlineStr">
        <is>
          <t>采购清单</t>
        </is>
      </c>
      <c r="J17" s="36" t="inlineStr">
        <is>
          <t>部分</t>
        </is>
      </c>
      <c r="K17" s="36" t="inlineStr"/>
      <c r="L17" s="32" t="inlineStr">
        <is>
          <t>隔墙</t>
        </is>
      </c>
    </row>
    <row r="18">
      <c r="A18" s="29" t="n">
        <v>14</v>
      </c>
      <c r="B18" s="32" t="inlineStr">
        <is>
          <t>围护材料</t>
        </is>
      </c>
      <c r="C18" s="32" t="inlineStr">
        <is>
          <t>外墙保温板(XPS)</t>
        </is>
      </c>
      <c r="D18" s="32" t="inlineStr">
        <is>
          <t>50mm</t>
        </is>
      </c>
      <c r="E18" s="35" t="inlineStr"/>
      <c r="F18" s="29" t="inlineStr">
        <is>
          <t>m³</t>
        </is>
      </c>
      <c r="G18" s="36" t="n">
        <v>95</v>
      </c>
      <c r="H18" s="61">
        <f>IF(E18="","",E18*G18*(1-IF(K18="",0,K18/100))/1000)</f>
        <v/>
      </c>
      <c r="I18" s="32" t="inlineStr">
        <is>
          <t>采购清单</t>
        </is>
      </c>
      <c r="J18" s="36" t="inlineStr">
        <is>
          <t>否</t>
        </is>
      </c>
      <c r="K18" s="36" t="inlineStr"/>
      <c r="L18" s="32" t="inlineStr">
        <is>
          <t>挤塑板</t>
        </is>
      </c>
    </row>
    <row r="19">
      <c r="A19" s="29" t="n">
        <v>15</v>
      </c>
      <c r="B19" s="32" t="inlineStr">
        <is>
          <t>围护材料</t>
        </is>
      </c>
      <c r="C19" s="32" t="inlineStr">
        <is>
          <t>外墙保温板(EPS)</t>
        </is>
      </c>
      <c r="D19" s="32" t="inlineStr">
        <is>
          <t>50mm</t>
        </is>
      </c>
      <c r="E19" s="35" t="inlineStr"/>
      <c r="F19" s="29" t="inlineStr">
        <is>
          <t>m³</t>
        </is>
      </c>
      <c r="G19" s="36" t="n">
        <v>85</v>
      </c>
      <c r="H19" s="61">
        <f>IF(E19="","",E19*G19*(1-IF(K19="",0,K19/100))/1000)</f>
        <v/>
      </c>
      <c r="I19" s="32" t="inlineStr">
        <is>
          <t>采购清单</t>
        </is>
      </c>
      <c r="J19" s="36" t="inlineStr">
        <is>
          <t>否</t>
        </is>
      </c>
      <c r="K19" s="36" t="inlineStr"/>
      <c r="L19" s="32" t="inlineStr">
        <is>
          <t>模塑板</t>
        </is>
      </c>
    </row>
    <row r="20">
      <c r="A20" s="29" t="n">
        <v>16</v>
      </c>
      <c r="B20" s="32" t="inlineStr">
        <is>
          <t>围护材料</t>
        </is>
      </c>
      <c r="C20" s="32" t="inlineStr">
        <is>
          <t>岩棉保温板</t>
        </is>
      </c>
      <c r="D20" s="32" t="inlineStr">
        <is>
          <t>50mm</t>
        </is>
      </c>
      <c r="E20" s="35" t="inlineStr"/>
      <c r="F20" s="29" t="inlineStr">
        <is>
          <t>m³</t>
        </is>
      </c>
      <c r="G20" s="36" t="n">
        <v>75</v>
      </c>
      <c r="H20" s="61">
        <f>IF(E20="","",E20*G20*(1-IF(K20="",0,K20/100))/1000)</f>
        <v/>
      </c>
      <c r="I20" s="32" t="inlineStr">
        <is>
          <t>采购清单</t>
        </is>
      </c>
      <c r="J20" s="36" t="inlineStr">
        <is>
          <t>否</t>
        </is>
      </c>
      <c r="K20" s="36" t="inlineStr"/>
      <c r="L20" s="32" t="inlineStr">
        <is>
          <t>A级防火</t>
        </is>
      </c>
    </row>
    <row r="21">
      <c r="A21" s="29" t="n">
        <v>17</v>
      </c>
      <c r="B21" s="32" t="inlineStr">
        <is>
          <t>围护材料</t>
        </is>
      </c>
      <c r="C21" s="32" t="inlineStr">
        <is>
          <t>玻璃（普通中空）</t>
        </is>
      </c>
      <c r="D21" s="32" t="inlineStr">
        <is>
          <t>6+12A+6</t>
        </is>
      </c>
      <c r="E21" s="35" t="inlineStr"/>
      <c r="F21" s="29" t="inlineStr">
        <is>
          <t>m²</t>
        </is>
      </c>
      <c r="G21" s="36" t="n">
        <v>12</v>
      </c>
      <c r="H21" s="61">
        <f>IF(E21="","",E21*G21*(1-IF(K21="",0,K21/100))/1000)</f>
        <v/>
      </c>
      <c r="I21" s="32" t="inlineStr">
        <is>
          <t>采购清单</t>
        </is>
      </c>
      <c r="J21" s="36" t="inlineStr">
        <is>
          <t>是</t>
        </is>
      </c>
      <c r="K21" s="36" t="inlineStr"/>
      <c r="L21" s="32" t="inlineStr"/>
    </row>
    <row r="22">
      <c r="A22" s="29" t="n">
        <v>18</v>
      </c>
      <c r="B22" s="32" t="inlineStr">
        <is>
          <t>围护材料</t>
        </is>
      </c>
      <c r="C22" s="32" t="inlineStr">
        <is>
          <t>玻璃（Low-E中空）</t>
        </is>
      </c>
      <c r="D22" s="32" t="inlineStr">
        <is>
          <t>6+12A+6Low-E</t>
        </is>
      </c>
      <c r="E22" s="35" t="inlineStr"/>
      <c r="F22" s="29" t="inlineStr">
        <is>
          <t>m²</t>
        </is>
      </c>
      <c r="G22" s="36" t="n">
        <v>15</v>
      </c>
      <c r="H22" s="61">
        <f>IF(E22="","",E22*G22*(1-IF(K22="",0,K22/100))/1000)</f>
        <v/>
      </c>
      <c r="I22" s="32" t="inlineStr">
        <is>
          <t>采购清单</t>
        </is>
      </c>
      <c r="J22" s="36" t="inlineStr">
        <is>
          <t>是</t>
        </is>
      </c>
      <c r="K22" s="36" t="inlineStr"/>
      <c r="L22" s="32" t="inlineStr">
        <is>
          <t>节能玻璃</t>
        </is>
      </c>
    </row>
    <row r="23">
      <c r="A23" s="29" t="n">
        <v>19</v>
      </c>
      <c r="B23" s="32" t="inlineStr">
        <is>
          <t>围护材料</t>
        </is>
      </c>
      <c r="C23" s="32" t="inlineStr">
        <is>
          <t>玻璃幕墙</t>
        </is>
      </c>
      <c r="D23" s="32" t="inlineStr">
        <is>
          <t>单元式</t>
        </is>
      </c>
      <c r="E23" s="35" t="inlineStr"/>
      <c r="F23" s="29" t="inlineStr">
        <is>
          <t>m²</t>
        </is>
      </c>
      <c r="G23" s="36" t="n">
        <v>45</v>
      </c>
      <c r="H23" s="61">
        <f>IF(E23="","",E23*G23*(1-IF(K23="",0,K23/100))/1000)</f>
        <v/>
      </c>
      <c r="I23" s="32" t="inlineStr">
        <is>
          <t>采购清单</t>
        </is>
      </c>
      <c r="J23" s="36" t="inlineStr">
        <is>
          <t>是</t>
        </is>
      </c>
      <c r="K23" s="36" t="inlineStr"/>
      <c r="L23" s="32" t="inlineStr">
        <is>
          <t>含铝型材</t>
        </is>
      </c>
    </row>
    <row r="24">
      <c r="A24" s="29" t="n">
        <v>20</v>
      </c>
      <c r="B24" s="32" t="inlineStr">
        <is>
          <t>围护材料</t>
        </is>
      </c>
      <c r="C24" s="32" t="inlineStr">
        <is>
          <t>铝合金门窗</t>
        </is>
      </c>
      <c r="D24" s="32" t="inlineStr"/>
      <c r="E24" s="35" t="inlineStr"/>
      <c r="F24" s="29" t="inlineStr">
        <is>
          <t>m²</t>
        </is>
      </c>
      <c r="G24" s="36" t="n">
        <v>25</v>
      </c>
      <c r="H24" s="61">
        <f>IF(E24="","",E24*G24*(1-IF(K24="",0,K24/100))/1000)</f>
        <v/>
      </c>
      <c r="I24" s="32" t="inlineStr">
        <is>
          <t>采购清单</t>
        </is>
      </c>
      <c r="J24" s="36" t="inlineStr">
        <is>
          <t>是</t>
        </is>
      </c>
      <c r="K24" s="36" t="inlineStr"/>
      <c r="L24" s="32" t="inlineStr"/>
    </row>
    <row r="25">
      <c r="A25" s="29" t="n">
        <v>21</v>
      </c>
      <c r="B25" s="32" t="inlineStr">
        <is>
          <t>屋面材料</t>
        </is>
      </c>
      <c r="C25" s="32" t="inlineStr">
        <is>
          <t>防水卷材(SBS)</t>
        </is>
      </c>
      <c r="D25" s="32" t="inlineStr">
        <is>
          <t>4mm</t>
        </is>
      </c>
      <c r="E25" s="35" t="inlineStr"/>
      <c r="F25" s="29" t="inlineStr">
        <is>
          <t>m²</t>
        </is>
      </c>
      <c r="G25" s="36" t="n">
        <v>4.5</v>
      </c>
      <c r="H25" s="61">
        <f>IF(E25="","",E25*G25*(1-IF(K25="",0,K25/100))/1000)</f>
        <v/>
      </c>
      <c r="I25" s="32" t="inlineStr">
        <is>
          <t>采购清单</t>
        </is>
      </c>
      <c r="J25" s="36" t="inlineStr">
        <is>
          <t>否</t>
        </is>
      </c>
      <c r="K25" s="36" t="inlineStr"/>
      <c r="L25" s="32" t="inlineStr"/>
    </row>
    <row r="26">
      <c r="A26" s="29" t="n">
        <v>22</v>
      </c>
      <c r="B26" s="32" t="inlineStr">
        <is>
          <t>屋面材料</t>
        </is>
      </c>
      <c r="C26" s="32" t="inlineStr">
        <is>
          <t>防水涂料</t>
        </is>
      </c>
      <c r="D26" s="32" t="inlineStr">
        <is>
          <t>聚氨酯</t>
        </is>
      </c>
      <c r="E26" s="35" t="inlineStr"/>
      <c r="F26" s="29" t="inlineStr">
        <is>
          <t>kg</t>
        </is>
      </c>
      <c r="G26" s="36" t="n">
        <v>3.2</v>
      </c>
      <c r="H26" s="61">
        <f>IF(E26="","",E26*G26*(1-IF(K26="",0,K26/100))/1000)</f>
        <v/>
      </c>
      <c r="I26" s="32" t="inlineStr">
        <is>
          <t>采购清单</t>
        </is>
      </c>
      <c r="J26" s="36" t="inlineStr">
        <is>
          <t>否</t>
        </is>
      </c>
      <c r="K26" s="36" t="inlineStr"/>
      <c r="L26" s="32" t="inlineStr"/>
    </row>
    <row r="27">
      <c r="A27" s="29" t="n">
        <v>23</v>
      </c>
      <c r="B27" s="32" t="inlineStr">
        <is>
          <t>屋面材料</t>
        </is>
      </c>
      <c r="C27" s="32" t="inlineStr">
        <is>
          <t>屋面保温板</t>
        </is>
      </c>
      <c r="D27" s="32" t="inlineStr">
        <is>
          <t>XPS 100mm</t>
        </is>
      </c>
      <c r="E27" s="35" t="inlineStr"/>
      <c r="F27" s="29" t="inlineStr">
        <is>
          <t>m³</t>
        </is>
      </c>
      <c r="G27" s="36" t="n">
        <v>95</v>
      </c>
      <c r="H27" s="61">
        <f>IF(E27="","",E27*G27*(1-IF(K27="",0,K27/100))/1000)</f>
        <v/>
      </c>
      <c r="I27" s="32" t="inlineStr">
        <is>
          <t>采购清单</t>
        </is>
      </c>
      <c r="J27" s="36" t="inlineStr">
        <is>
          <t>否</t>
        </is>
      </c>
      <c r="K27" s="36" t="inlineStr"/>
      <c r="L27" s="32" t="inlineStr"/>
    </row>
    <row r="28">
      <c r="A28" s="29" t="n">
        <v>24</v>
      </c>
      <c r="B28" s="32" t="inlineStr">
        <is>
          <t>屋面材料</t>
        </is>
      </c>
      <c r="C28" s="32" t="inlineStr">
        <is>
          <t>瓦（陶瓦）</t>
        </is>
      </c>
      <c r="D28" s="32" t="inlineStr"/>
      <c r="E28" s="35" t="inlineStr"/>
      <c r="F28" s="29" t="inlineStr">
        <is>
          <t>m²</t>
        </is>
      </c>
      <c r="G28" s="36" t="n">
        <v>8.5</v>
      </c>
      <c r="H28" s="61">
        <f>IF(E28="","",E28*G28*(1-IF(K28="",0,K28/100))/1000)</f>
        <v/>
      </c>
      <c r="I28" s="32" t="inlineStr">
        <is>
          <t>采购清单</t>
        </is>
      </c>
      <c r="J28" s="36" t="inlineStr">
        <is>
          <t>部分</t>
        </is>
      </c>
      <c r="K28" s="36" t="inlineStr"/>
      <c r="L28" s="32" t="inlineStr"/>
    </row>
    <row r="29">
      <c r="A29" s="29" t="n">
        <v>25</v>
      </c>
      <c r="B29" s="32" t="inlineStr">
        <is>
          <t>屋面材料</t>
        </is>
      </c>
      <c r="C29" s="32" t="inlineStr">
        <is>
          <t>瓦（彩钢瓦）</t>
        </is>
      </c>
      <c r="D29" s="32" t="inlineStr">
        <is>
          <t>0.6mm</t>
        </is>
      </c>
      <c r="E29" s="35" t="inlineStr"/>
      <c r="F29" s="29" t="inlineStr">
        <is>
          <t>m²</t>
        </is>
      </c>
      <c r="G29" s="36" t="n">
        <v>6</v>
      </c>
      <c r="H29" s="61">
        <f>IF(E29="","",E29*G29*(1-IF(K29="",0,K29/100))/1000)</f>
        <v/>
      </c>
      <c r="I29" s="32" t="inlineStr">
        <is>
          <t>采购清单</t>
        </is>
      </c>
      <c r="J29" s="36" t="inlineStr">
        <is>
          <t>是</t>
        </is>
      </c>
      <c r="K29" s="36" t="inlineStr"/>
      <c r="L29" s="32" t="inlineStr"/>
    </row>
    <row r="30">
      <c r="A30" s="29" t="n">
        <v>26</v>
      </c>
      <c r="B30" s="32" t="inlineStr">
        <is>
          <t>装饰材料</t>
        </is>
      </c>
      <c r="C30" s="32" t="inlineStr">
        <is>
          <t>花岗岩</t>
        </is>
      </c>
      <c r="D30" s="32" t="inlineStr">
        <is>
          <t>30mm</t>
        </is>
      </c>
      <c r="E30" s="35" t="inlineStr"/>
      <c r="F30" s="29" t="inlineStr">
        <is>
          <t>m²</t>
        </is>
      </c>
      <c r="G30" s="36" t="n">
        <v>38</v>
      </c>
      <c r="H30" s="61">
        <f>IF(E30="","",E30*G30*(1-IF(K30="",0,K30/100))/1000)</f>
        <v/>
      </c>
      <c r="I30" s="32" t="inlineStr">
        <is>
          <t>采购清单</t>
        </is>
      </c>
      <c r="J30" s="36" t="inlineStr">
        <is>
          <t>部分</t>
        </is>
      </c>
      <c r="K30" s="36" t="inlineStr"/>
      <c r="L30" s="32" t="inlineStr">
        <is>
          <t>外墙</t>
        </is>
      </c>
    </row>
    <row r="31">
      <c r="A31" s="29" t="n">
        <v>27</v>
      </c>
      <c r="B31" s="32" t="inlineStr">
        <is>
          <t>装饰材料</t>
        </is>
      </c>
      <c r="C31" s="32" t="inlineStr">
        <is>
          <t>大理石</t>
        </is>
      </c>
      <c r="D31" s="32" t="inlineStr">
        <is>
          <t>20mm</t>
        </is>
      </c>
      <c r="E31" s="35" t="inlineStr"/>
      <c r="F31" s="29" t="inlineStr">
        <is>
          <t>m²</t>
        </is>
      </c>
      <c r="G31" s="36" t="n">
        <v>35</v>
      </c>
      <c r="H31" s="61">
        <f>IF(E31="","",E31*G31*(1-IF(K31="",0,K31/100))/1000)</f>
        <v/>
      </c>
      <c r="I31" s="32" t="inlineStr">
        <is>
          <t>采购清单</t>
        </is>
      </c>
      <c r="J31" s="36" t="inlineStr">
        <is>
          <t>部分</t>
        </is>
      </c>
      <c r="K31" s="36" t="inlineStr"/>
      <c r="L31" s="32" t="inlineStr">
        <is>
          <t>室内</t>
        </is>
      </c>
    </row>
    <row r="32">
      <c r="A32" s="29" t="n">
        <v>28</v>
      </c>
      <c r="B32" s="32" t="inlineStr">
        <is>
          <t>装饰材料</t>
        </is>
      </c>
      <c r="C32" s="32" t="inlineStr">
        <is>
          <t>瓷砖（地砖）</t>
        </is>
      </c>
      <c r="D32" s="32" t="inlineStr">
        <is>
          <t>800×800</t>
        </is>
      </c>
      <c r="E32" s="35" t="inlineStr"/>
      <c r="F32" s="29" t="inlineStr">
        <is>
          <t>m²</t>
        </is>
      </c>
      <c r="G32" s="36" t="n">
        <v>12</v>
      </c>
      <c r="H32" s="61">
        <f>IF(E32="","",E32*G32*(1-IF(K32="",0,K32/100))/1000)</f>
        <v/>
      </c>
      <c r="I32" s="32" t="inlineStr">
        <is>
          <t>采购清单</t>
        </is>
      </c>
      <c r="J32" s="36" t="inlineStr">
        <is>
          <t>部分</t>
        </is>
      </c>
      <c r="K32" s="36" t="inlineStr"/>
      <c r="L32" s="32" t="inlineStr"/>
    </row>
    <row r="33">
      <c r="A33" s="29" t="n">
        <v>29</v>
      </c>
      <c r="B33" s="32" t="inlineStr">
        <is>
          <t>装饰材料</t>
        </is>
      </c>
      <c r="C33" s="32" t="inlineStr">
        <is>
          <t>瓷砖（墙砖）</t>
        </is>
      </c>
      <c r="D33" s="32" t="inlineStr">
        <is>
          <t>300×600</t>
        </is>
      </c>
      <c r="E33" s="35" t="inlineStr"/>
      <c r="F33" s="29" t="inlineStr">
        <is>
          <t>m²</t>
        </is>
      </c>
      <c r="G33" s="36" t="n">
        <v>10</v>
      </c>
      <c r="H33" s="61">
        <f>IF(E33="","",E33*G33*(1-IF(K33="",0,K33/100))/1000)</f>
        <v/>
      </c>
      <c r="I33" s="32" t="inlineStr">
        <is>
          <t>采购清单</t>
        </is>
      </c>
      <c r="J33" s="36" t="inlineStr">
        <is>
          <t>部分</t>
        </is>
      </c>
      <c r="K33" s="36" t="inlineStr"/>
      <c r="L33" s="32" t="inlineStr"/>
    </row>
    <row r="34">
      <c r="A34" s="29" t="n">
        <v>30</v>
      </c>
      <c r="B34" s="32" t="inlineStr">
        <is>
          <t>装饰材料</t>
        </is>
      </c>
      <c r="C34" s="32" t="inlineStr">
        <is>
          <t>实木地板</t>
        </is>
      </c>
      <c r="D34" s="32" t="inlineStr"/>
      <c r="E34" s="35" t="inlineStr"/>
      <c r="F34" s="29" t="inlineStr">
        <is>
          <t>m²</t>
        </is>
      </c>
      <c r="G34" s="36" t="n">
        <v>15</v>
      </c>
      <c r="H34" s="61">
        <f>IF(E34="","",E34*G34*(1-IF(K34="",0,K34/100))/1000)</f>
        <v/>
      </c>
      <c r="I34" s="32" t="inlineStr">
        <is>
          <t>采购清单</t>
        </is>
      </c>
      <c r="J34" s="36" t="inlineStr">
        <is>
          <t>是</t>
        </is>
      </c>
      <c r="K34" s="36" t="inlineStr"/>
      <c r="L34" s="32" t="inlineStr">
        <is>
          <t>可再生</t>
        </is>
      </c>
    </row>
    <row r="35">
      <c r="A35" s="29" t="n">
        <v>31</v>
      </c>
      <c r="B35" s="32" t="inlineStr">
        <is>
          <t>装饰材料</t>
        </is>
      </c>
      <c r="C35" s="32" t="inlineStr">
        <is>
          <t>复合地板</t>
        </is>
      </c>
      <c r="D35" s="32" t="inlineStr"/>
      <c r="E35" s="35" t="inlineStr"/>
      <c r="F35" s="29" t="inlineStr">
        <is>
          <t>m²</t>
        </is>
      </c>
      <c r="G35" s="36" t="n">
        <v>8.5</v>
      </c>
      <c r="H35" s="61">
        <f>IF(E35="","",E35*G35*(1-IF(K35="",0,K35/100))/1000)</f>
        <v/>
      </c>
      <c r="I35" s="32" t="inlineStr">
        <is>
          <t>采购清单</t>
        </is>
      </c>
      <c r="J35" s="36" t="inlineStr">
        <is>
          <t>部分</t>
        </is>
      </c>
      <c r="K35" s="36" t="inlineStr"/>
      <c r="L35" s="32" t="inlineStr"/>
    </row>
    <row r="36">
      <c r="A36" s="29" t="n">
        <v>32</v>
      </c>
      <c r="B36" s="32" t="inlineStr">
        <is>
          <t>装饰材料</t>
        </is>
      </c>
      <c r="C36" s="32" t="inlineStr">
        <is>
          <t>涂料（内墙）</t>
        </is>
      </c>
      <c r="D36" s="32" t="inlineStr">
        <is>
          <t>乳胶漆</t>
        </is>
      </c>
      <c r="E36" s="35" t="inlineStr"/>
      <c r="F36" s="29" t="inlineStr">
        <is>
          <t>kg</t>
        </is>
      </c>
      <c r="G36" s="36" t="n">
        <v>3</v>
      </c>
      <c r="H36" s="61">
        <f>IF(E36="","",E36*G36*(1-IF(K36="",0,K36/100))/1000)</f>
        <v/>
      </c>
      <c r="I36" s="32" t="inlineStr">
        <is>
          <t>采购清单</t>
        </is>
      </c>
      <c r="J36" s="36" t="inlineStr">
        <is>
          <t>否</t>
        </is>
      </c>
      <c r="K36" s="36" t="inlineStr"/>
      <c r="L36" s="32" t="inlineStr"/>
    </row>
    <row r="37">
      <c r="A37" s="29" t="n">
        <v>33</v>
      </c>
      <c r="B37" s="32" t="inlineStr">
        <is>
          <t>装饰材料</t>
        </is>
      </c>
      <c r="C37" s="32" t="inlineStr">
        <is>
          <t>涂料（外墙）</t>
        </is>
      </c>
      <c r="D37" s="32" t="inlineStr">
        <is>
          <t>真石漆</t>
        </is>
      </c>
      <c r="E37" s="35" t="inlineStr"/>
      <c r="F37" s="29" t="inlineStr">
        <is>
          <t>kg</t>
        </is>
      </c>
      <c r="G37" s="36" t="n">
        <v>3.5</v>
      </c>
      <c r="H37" s="61">
        <f>IF(E37="","",E37*G37*(1-IF(K37="",0,K37/100))/1000)</f>
        <v/>
      </c>
      <c r="I37" s="32" t="inlineStr">
        <is>
          <t>采购清单</t>
        </is>
      </c>
      <c r="J37" s="36" t="inlineStr">
        <is>
          <t>否</t>
        </is>
      </c>
      <c r="K37" s="36" t="inlineStr"/>
      <c r="L37" s="32" t="inlineStr"/>
    </row>
    <row r="38">
      <c r="A38" s="29" t="n">
        <v>34</v>
      </c>
      <c r="B38" s="32" t="inlineStr">
        <is>
          <t>装饰材料</t>
        </is>
      </c>
      <c r="C38" s="32" t="inlineStr">
        <is>
          <t>壁纸</t>
        </is>
      </c>
      <c r="D38" s="32" t="inlineStr"/>
      <c r="E38" s="35" t="inlineStr"/>
      <c r="F38" s="29" t="inlineStr">
        <is>
          <t>m²</t>
        </is>
      </c>
      <c r="G38" s="36" t="n">
        <v>2.5</v>
      </c>
      <c r="H38" s="61">
        <f>IF(E38="","",E38*G38*(1-IF(K38="",0,K38/100))/1000)</f>
        <v/>
      </c>
      <c r="I38" s="32" t="inlineStr">
        <is>
          <t>采购清单</t>
        </is>
      </c>
      <c r="J38" s="36" t="inlineStr">
        <is>
          <t>否</t>
        </is>
      </c>
      <c r="K38" s="36" t="inlineStr"/>
      <c r="L38" s="32" t="inlineStr"/>
    </row>
    <row r="39">
      <c r="A39" s="29" t="n">
        <v>35</v>
      </c>
      <c r="B39" s="32" t="inlineStr">
        <is>
          <t>装饰材料</t>
        </is>
      </c>
      <c r="C39" s="32" t="inlineStr">
        <is>
          <t>吊顶（铝扣板）</t>
        </is>
      </c>
      <c r="D39" s="32" t="inlineStr">
        <is>
          <t>600×600</t>
        </is>
      </c>
      <c r="E39" s="35" t="inlineStr"/>
      <c r="F39" s="29" t="inlineStr">
        <is>
          <t>m²</t>
        </is>
      </c>
      <c r="G39" s="36" t="n">
        <v>18</v>
      </c>
      <c r="H39" s="61">
        <f>IF(E39="","",E39*G39*(1-IF(K39="",0,K39/100))/1000)</f>
        <v/>
      </c>
      <c r="I39" s="32" t="inlineStr">
        <is>
          <t>采购清单</t>
        </is>
      </c>
      <c r="J39" s="36" t="inlineStr">
        <is>
          <t>是</t>
        </is>
      </c>
      <c r="K39" s="36" t="inlineStr"/>
      <c r="L39" s="32" t="inlineStr"/>
    </row>
    <row r="40">
      <c r="A40" s="29" t="n">
        <v>36</v>
      </c>
      <c r="B40" s="32" t="inlineStr">
        <is>
          <t>安装材料</t>
        </is>
      </c>
      <c r="C40" s="32" t="inlineStr">
        <is>
          <t>电缆（铜芯）</t>
        </is>
      </c>
      <c r="D40" s="32" t="inlineStr"/>
      <c r="E40" s="35" t="inlineStr"/>
      <c r="F40" s="29" t="inlineStr">
        <is>
          <t>m</t>
        </is>
      </c>
      <c r="G40" s="36" t="n">
        <v>2</v>
      </c>
      <c r="H40" s="61">
        <f>IF(E40="","",E40*G40*(1-IF(K40="",0,K40/100))/1000)</f>
        <v/>
      </c>
      <c r="I40" s="32" t="inlineStr">
        <is>
          <t>采购清单</t>
        </is>
      </c>
      <c r="J40" s="36" t="inlineStr">
        <is>
          <t>是</t>
        </is>
      </c>
      <c r="K40" s="36" t="inlineStr"/>
      <c r="L40" s="32" t="inlineStr"/>
    </row>
    <row r="41">
      <c r="A41" s="29" t="n">
        <v>37</v>
      </c>
      <c r="B41" s="32" t="inlineStr">
        <is>
          <t>安装材料</t>
        </is>
      </c>
      <c r="C41" s="32" t="inlineStr">
        <is>
          <t>电线</t>
        </is>
      </c>
      <c r="D41" s="32" t="inlineStr"/>
      <c r="E41" s="35" t="inlineStr"/>
      <c r="F41" s="29" t="inlineStr">
        <is>
          <t>m</t>
        </is>
      </c>
      <c r="G41" s="36" t="n">
        <v>0.5</v>
      </c>
      <c r="H41" s="61">
        <f>IF(E41="","",E41*G41*(1-IF(K41="",0,K41/100))/1000)</f>
        <v/>
      </c>
      <c r="I41" s="32" t="inlineStr">
        <is>
          <t>采购清单</t>
        </is>
      </c>
      <c r="J41" s="36" t="inlineStr">
        <is>
          <t>是</t>
        </is>
      </c>
      <c r="K41" s="36" t="inlineStr"/>
    </row>
    <row r="42">
      <c r="A42" s="29" t="n">
        <v>38</v>
      </c>
      <c r="B42" s="32" t="inlineStr">
        <is>
          <t>安装材料</t>
        </is>
      </c>
      <c r="C42" s="32" t="inlineStr">
        <is>
          <t>管材（钢管）</t>
        </is>
      </c>
      <c r="D42" s="32" t="inlineStr"/>
      <c r="E42" s="35" t="inlineStr"/>
      <c r="F42" s="29" t="inlineStr">
        <is>
          <t>t</t>
        </is>
      </c>
      <c r="G42" s="36" t="n">
        <v>2100</v>
      </c>
      <c r="H42" s="61">
        <f>IF(E42="","",E42*G42*(1-IF(K42="",0,K42/100))/1000)</f>
        <v/>
      </c>
      <c r="I42" s="32" t="inlineStr">
        <is>
          <t>采购清单</t>
        </is>
      </c>
      <c r="J42" s="36" t="inlineStr">
        <is>
          <t>是</t>
        </is>
      </c>
      <c r="K42" s="36" t="inlineStr"/>
    </row>
    <row r="43">
      <c r="A43" s="29" t="n">
        <v>39</v>
      </c>
      <c r="B43" s="32" t="inlineStr">
        <is>
          <t>安装材料</t>
        </is>
      </c>
      <c r="C43" s="32" t="inlineStr">
        <is>
          <t>管材（PPR）</t>
        </is>
      </c>
      <c r="D43" s="32" t="inlineStr"/>
      <c r="E43" s="35" t="inlineStr"/>
      <c r="F43" s="29" t="inlineStr">
        <is>
          <t>m</t>
        </is>
      </c>
      <c r="G43" s="36" t="n">
        <v>0.8</v>
      </c>
      <c r="H43" s="61">
        <f>IF(E43="","",E43*G43*(1-IF(K43="",0,K43/100))/1000)</f>
        <v/>
      </c>
      <c r="I43" s="32" t="inlineStr">
        <is>
          <t>采购清单</t>
        </is>
      </c>
      <c r="J43" s="36" t="inlineStr">
        <is>
          <t>部分</t>
        </is>
      </c>
      <c r="K43" s="36" t="inlineStr"/>
      <c r="L43" s="32" t="inlineStr">
        <is>
          <t>给水</t>
        </is>
      </c>
    </row>
    <row r="44">
      <c r="A44" s="29" t="n">
        <v>40</v>
      </c>
      <c r="B44" s="32" t="inlineStr">
        <is>
          <t>安装材料</t>
        </is>
      </c>
      <c r="C44" s="32" t="inlineStr">
        <is>
          <t>管材（PVC）</t>
        </is>
      </c>
      <c r="D44" s="32" t="inlineStr"/>
      <c r="E44" s="35" t="inlineStr"/>
      <c r="F44" s="29" t="inlineStr">
        <is>
          <t>m</t>
        </is>
      </c>
      <c r="G44" s="36" t="n">
        <v>0.6</v>
      </c>
      <c r="H44" s="61">
        <f>IF(E44="","",E44*G44*(1-IF(K44="",0,K44/100))/1000)</f>
        <v/>
      </c>
      <c r="I44" s="32" t="inlineStr">
        <is>
          <t>采购清单</t>
        </is>
      </c>
      <c r="J44" s="36" t="inlineStr">
        <is>
          <t>部分</t>
        </is>
      </c>
      <c r="K44" s="36" t="inlineStr"/>
      <c r="L44" s="32" t="inlineStr">
        <is>
          <t>排水</t>
        </is>
      </c>
    </row>
    <row r="45">
      <c r="A45" s="29" t="n">
        <v>41</v>
      </c>
      <c r="B45" s="32" t="inlineStr">
        <is>
          <t>安装材料</t>
        </is>
      </c>
      <c r="C45" s="32" t="inlineStr">
        <is>
          <t>风管（镀锌钢板）</t>
        </is>
      </c>
      <c r="D45" s="32" t="inlineStr"/>
      <c r="E45" s="35" t="inlineStr"/>
      <c r="F45" s="29" t="inlineStr">
        <is>
          <t>m²</t>
        </is>
      </c>
      <c r="G45" s="36" t="n">
        <v>12</v>
      </c>
      <c r="H45" s="61">
        <f>IF(E45="","",E45*G45*(1-IF(K45="",0,K45/100))/1000)</f>
        <v/>
      </c>
      <c r="I45" s="32" t="inlineStr">
        <is>
          <t>采购清单</t>
        </is>
      </c>
      <c r="J45" s="36" t="inlineStr">
        <is>
          <t>是</t>
        </is>
      </c>
      <c r="K45" s="36" t="inlineStr"/>
    </row>
    <row r="46">
      <c r="A46" s="29" t="n">
        <v>42</v>
      </c>
      <c r="B46" s="32" t="inlineStr">
        <is>
          <t>安装材料</t>
        </is>
      </c>
      <c r="C46" s="32" t="inlineStr">
        <is>
          <t>桥架</t>
        </is>
      </c>
      <c r="D46" s="32" t="inlineStr"/>
      <c r="E46" s="35" t="inlineStr"/>
      <c r="F46" s="29" t="inlineStr">
        <is>
          <t>m</t>
        </is>
      </c>
      <c r="G46" s="36" t="n">
        <v>5.5</v>
      </c>
      <c r="H46" s="61">
        <f>IF(E46="","",E46*G46*(1-IF(K46="",0,K46/100))/1000)</f>
        <v/>
      </c>
      <c r="I46" s="32" t="inlineStr">
        <is>
          <t>采购清单</t>
        </is>
      </c>
      <c r="J46" s="36" t="inlineStr">
        <is>
          <t>是</t>
        </is>
      </c>
      <c r="K46" s="36" t="inlineStr"/>
    </row>
    <row r="47">
      <c r="A47" s="29" t="n">
        <v>43</v>
      </c>
      <c r="B47" s="32" t="inlineStr">
        <is>
          <t>安装材料</t>
        </is>
      </c>
      <c r="C47" s="32" t="inlineStr">
        <is>
          <t>配电箱</t>
        </is>
      </c>
      <c r="D47" s="32" t="inlineStr"/>
      <c r="E47" s="35" t="inlineStr"/>
      <c r="F47" s="29" t="inlineStr">
        <is>
          <t>台</t>
        </is>
      </c>
      <c r="G47" s="36" t="n">
        <v>150</v>
      </c>
      <c r="H47" s="61">
        <f>IF(E47="","",E47*G47*(1-IF(K47="",0,K47/100))/1000)</f>
        <v/>
      </c>
      <c r="I47" s="32" t="inlineStr">
        <is>
          <t>采购清单</t>
        </is>
      </c>
      <c r="J47" s="36" t="inlineStr">
        <is>
          <t>是</t>
        </is>
      </c>
      <c r="K47" s="36" t="inlineStr"/>
    </row>
    <row r="48">
      <c r="A48" s="29" t="n">
        <v>44</v>
      </c>
      <c r="B48" s="32" t="inlineStr">
        <is>
          <t>安装材料</t>
        </is>
      </c>
      <c r="C48" s="32" t="inlineStr">
        <is>
          <t>开关插座</t>
        </is>
      </c>
      <c r="D48" s="32" t="inlineStr"/>
      <c r="E48" s="35" t="inlineStr"/>
      <c r="F48" s="29" t="inlineStr">
        <is>
          <t>个</t>
        </is>
      </c>
      <c r="G48" s="36" t="n">
        <v>2.5</v>
      </c>
      <c r="H48" s="61">
        <f>IF(E48="","",E48*G48*(1-IF(K48="",0,K48/100))/1000)</f>
        <v/>
      </c>
      <c r="I48" s="32" t="inlineStr">
        <is>
          <t>采购清单</t>
        </is>
      </c>
      <c r="J48" s="36" t="inlineStr">
        <is>
          <t>部分</t>
        </is>
      </c>
      <c r="K48" s="36" t="inlineStr"/>
    </row>
    <row r="49">
      <c r="A49" s="29" t="n">
        <v>45</v>
      </c>
      <c r="B49" s="32" t="inlineStr">
        <is>
          <t>安装材料</t>
        </is>
      </c>
      <c r="C49" s="32" t="inlineStr">
        <is>
          <t>卫生洁具</t>
        </is>
      </c>
      <c r="D49" s="32" t="inlineStr"/>
      <c r="E49" s="35" t="inlineStr"/>
      <c r="F49" s="29" t="inlineStr">
        <is>
          <t>套</t>
        </is>
      </c>
      <c r="G49" s="36" t="n">
        <v>85</v>
      </c>
      <c r="H49" s="61">
        <f>IF(E49="","",E49*G49*(1-IF(K49="",0,K49/100))/1000)</f>
        <v/>
      </c>
      <c r="I49" s="32" t="inlineStr">
        <is>
          <t>采购清单</t>
        </is>
      </c>
      <c r="J49" s="36" t="inlineStr">
        <is>
          <t>部分</t>
        </is>
      </c>
      <c r="K49" s="36" t="inlineStr"/>
    </row>
    <row r="50">
      <c r="A50" s="29" t="n">
        <v>46</v>
      </c>
      <c r="B50" s="32" t="inlineStr">
        <is>
          <t>特殊材料</t>
        </is>
      </c>
      <c r="C50" s="32" t="inlineStr">
        <is>
          <t>消防设备</t>
        </is>
      </c>
      <c r="D50" s="32" t="inlineStr"/>
      <c r="E50" s="35" t="inlineStr"/>
      <c r="F50" s="29" t="inlineStr">
        <is>
          <t>项</t>
        </is>
      </c>
      <c r="G50" s="36" t="n">
        <v>5000</v>
      </c>
      <c r="H50" s="61">
        <f>IF(E50="","",E50*G50*(1-IF(K50="",0,K50/100))/1000)</f>
        <v/>
      </c>
      <c r="I50" s="32" t="inlineStr">
        <is>
          <t>采购清单</t>
        </is>
      </c>
      <c r="J50" s="36" t="inlineStr">
        <is>
          <t>部分</t>
        </is>
      </c>
      <c r="K50" s="36" t="inlineStr"/>
      <c r="L50" s="32" t="inlineStr">
        <is>
          <t>估算</t>
        </is>
      </c>
    </row>
    <row r="51">
      <c r="A51" s="29" t="n">
        <v>47</v>
      </c>
      <c r="B51" s="32" t="inlineStr">
        <is>
          <t>特殊材料</t>
        </is>
      </c>
      <c r="C51" s="32" t="inlineStr">
        <is>
          <t>安防设备</t>
        </is>
      </c>
      <c r="D51" s="32" t="inlineStr"/>
      <c r="E51" s="35" t="inlineStr"/>
      <c r="F51" s="29" t="inlineStr">
        <is>
          <t>项</t>
        </is>
      </c>
      <c r="G51" s="36" t="n">
        <v>3000</v>
      </c>
      <c r="H51" s="61">
        <f>IF(E51="","",E51*G51*(1-IF(K51="",0,K51/100))/1000)</f>
        <v/>
      </c>
      <c r="I51" s="32" t="inlineStr">
        <is>
          <t>采购清单</t>
        </is>
      </c>
      <c r="J51" s="36" t="inlineStr">
        <is>
          <t>部分</t>
        </is>
      </c>
      <c r="K51" s="36" t="inlineStr"/>
      <c r="L51" s="32" t="inlineStr">
        <is>
          <t>估算</t>
        </is>
      </c>
    </row>
    <row r="52">
      <c r="A52" s="29" t="n">
        <v>48</v>
      </c>
      <c r="B52" s="32" t="inlineStr">
        <is>
          <t>特殊材料</t>
        </is>
      </c>
      <c r="C52" s="32" t="inlineStr">
        <is>
          <t>智能化设备</t>
        </is>
      </c>
      <c r="D52" s="32" t="inlineStr"/>
      <c r="E52" s="35" t="inlineStr"/>
      <c r="F52" s="29" t="inlineStr">
        <is>
          <t>项</t>
        </is>
      </c>
      <c r="G52" s="36" t="n">
        <v>8000</v>
      </c>
      <c r="H52" s="61">
        <f>IF(E52="","",E52*G52*(1-IF(K52="",0,K52/100))/1000)</f>
        <v/>
      </c>
      <c r="I52" s="32" t="inlineStr">
        <is>
          <t>采购清单</t>
        </is>
      </c>
      <c r="J52" s="36" t="inlineStr">
        <is>
          <t>部分</t>
        </is>
      </c>
      <c r="K52" s="36" t="inlineStr"/>
      <c r="L52" s="32" t="inlineStr">
        <is>
          <t>估算</t>
        </is>
      </c>
    </row>
    <row r="53">
      <c r="A53" s="29" t="n">
        <v>49</v>
      </c>
      <c r="B53" s="32" t="inlineStr">
        <is>
          <t>特殊材料</t>
        </is>
      </c>
      <c r="C53" s="32" t="inlineStr">
        <is>
          <t>电梯设备</t>
        </is>
      </c>
      <c r="D53" s="32" t="inlineStr"/>
      <c r="E53" s="35" t="inlineStr"/>
      <c r="F53" s="29" t="inlineStr">
        <is>
          <t>台</t>
        </is>
      </c>
      <c r="G53" s="36" t="n">
        <v>25000</v>
      </c>
      <c r="H53" s="61">
        <f>IF(E53="","",E53*G53*(1-IF(K53="",0,K53/100))/1000)</f>
        <v/>
      </c>
      <c r="I53" s="32" t="inlineStr">
        <is>
          <t>采购清单</t>
        </is>
      </c>
      <c r="J53" s="36" t="inlineStr">
        <is>
          <t>是</t>
        </is>
      </c>
      <c r="K53" s="36" t="inlineStr"/>
      <c r="L53" s="32" t="inlineStr">
        <is>
          <t>含安装</t>
        </is>
      </c>
    </row>
    <row r="54">
      <c r="A54" s="29" t="n">
        <v>50</v>
      </c>
      <c r="B54" s="32" t="inlineStr">
        <is>
          <t>特殊材料</t>
        </is>
      </c>
      <c r="C54" s="32" t="inlineStr">
        <is>
          <t>变配电设备</t>
        </is>
      </c>
      <c r="D54" s="32" t="inlineStr"/>
      <c r="E54" s="35" t="inlineStr"/>
      <c r="F54" s="29" t="inlineStr">
        <is>
          <t>项</t>
        </is>
      </c>
      <c r="G54" s="36" t="n">
        <v>15000</v>
      </c>
      <c r="H54" s="61">
        <f>IF(E54="","",E54*G54*(1-IF(K54="",0,K54/100))/1000)</f>
        <v/>
      </c>
      <c r="I54" s="32" t="inlineStr">
        <is>
          <t>采购清单</t>
        </is>
      </c>
      <c r="J54" s="36" t="inlineStr">
        <is>
          <t>是</t>
        </is>
      </c>
      <c r="K54" s="36" t="inlineStr"/>
      <c r="L54" s="32" t="inlineStr">
        <is>
          <t>估算</t>
        </is>
      </c>
    </row>
    <row r="55">
      <c r="A55" s="29" t="n">
        <v>51</v>
      </c>
      <c r="B55" s="32" t="inlineStr">
        <is>
          <t>再生材料</t>
        </is>
      </c>
      <c r="C55" s="32" t="inlineStr">
        <is>
          <t>再生骨料混凝土</t>
        </is>
      </c>
      <c r="D55" s="32" t="inlineStr">
        <is>
          <t>C30</t>
        </is>
      </c>
      <c r="E55" s="35" t="inlineStr"/>
      <c r="F55" s="29" t="inlineStr">
        <is>
          <t>m³</t>
        </is>
      </c>
      <c r="G55" s="36" t="n">
        <v>220</v>
      </c>
      <c r="H55" s="61">
        <f>IF(E55="","",E55*G55*(1-IF(K55="",0,K55/100))/1000)</f>
        <v/>
      </c>
      <c r="I55" s="32" t="inlineStr">
        <is>
          <t>采购清单</t>
        </is>
      </c>
      <c r="J55" s="36" t="inlineStr">
        <is>
          <t>部分</t>
        </is>
      </c>
      <c r="K55" s="36" t="inlineStr"/>
      <c r="L55" s="32" t="inlineStr">
        <is>
          <t>替代30%骨料</t>
        </is>
      </c>
    </row>
    <row r="56">
      <c r="A56" s="29" t="n">
        <v>52</v>
      </c>
      <c r="B56" s="32" t="inlineStr">
        <is>
          <t>再生材料</t>
        </is>
      </c>
      <c r="C56" s="32" t="inlineStr">
        <is>
          <t>再生钢筋</t>
        </is>
      </c>
      <c r="D56" s="32" t="inlineStr"/>
      <c r="E56" s="35" t="inlineStr"/>
      <c r="F56" s="29" t="inlineStr">
        <is>
          <t>t</t>
        </is>
      </c>
      <c r="G56" s="36" t="n">
        <v>1600</v>
      </c>
      <c r="H56" s="61">
        <f>IF(E56="","",E56*G56*(1-IF(K56="",0,K56/100))/1000)</f>
        <v/>
      </c>
      <c r="I56" s="32" t="inlineStr">
        <is>
          <t>采购清单</t>
        </is>
      </c>
      <c r="J56" s="36" t="inlineStr">
        <is>
          <t>是</t>
        </is>
      </c>
      <c r="K56" s="36" t="inlineStr"/>
      <c r="L56" s="32" t="inlineStr">
        <is>
          <t>废钢回收</t>
        </is>
      </c>
    </row>
    <row r="57">
      <c r="A57" s="29" t="n">
        <v>53</v>
      </c>
      <c r="B57" s="32" t="inlineStr">
        <is>
          <t>再生材料</t>
        </is>
      </c>
      <c r="C57" s="32" t="inlineStr">
        <is>
          <t>再生砖</t>
        </is>
      </c>
      <c r="D57" s="32" t="inlineStr"/>
      <c r="E57" s="35" t="inlineStr"/>
      <c r="F57" s="29" t="inlineStr">
        <is>
          <t>千块</t>
        </is>
      </c>
      <c r="G57" s="36" t="n">
        <v>180</v>
      </c>
      <c r="H57" s="61">
        <f>IF(E57="","",E57*G57*(1-IF(K57="",0,K57/100))/1000)</f>
        <v/>
      </c>
      <c r="I57" s="32" t="inlineStr">
        <is>
          <t>采购清单</t>
        </is>
      </c>
      <c r="J57" s="36" t="inlineStr">
        <is>
          <t>部分</t>
        </is>
      </c>
      <c r="K57" s="36" t="inlineStr"/>
      <c r="L57" s="32" t="inlineStr">
        <is>
          <t>建筑垃圾再生</t>
        </is>
      </c>
    </row>
    <row r="58">
      <c r="A58" s="29" t="n">
        <v>54</v>
      </c>
      <c r="B58" s="32" t="inlineStr">
        <is>
          <t>再生材料</t>
        </is>
      </c>
      <c r="C58" s="32" t="inlineStr">
        <is>
          <t>再生木材</t>
        </is>
      </c>
      <c r="D58" s="32" t="inlineStr"/>
      <c r="E58" s="35" t="inlineStr"/>
      <c r="F58" s="29" t="inlineStr">
        <is>
          <t>m³</t>
        </is>
      </c>
      <c r="G58" s="36" t="n">
        <v>80</v>
      </c>
      <c r="H58" s="61">
        <f>IF(E58="","",E58*G58*(1-IF(K58="",0,K58/100))/1000)</f>
        <v/>
      </c>
      <c r="I58" s="32" t="inlineStr">
        <is>
          <t>采购清单</t>
        </is>
      </c>
      <c r="J58" s="36" t="inlineStr">
        <is>
          <t>是</t>
        </is>
      </c>
      <c r="K58" s="36" t="inlineStr"/>
    </row>
    <row r="59">
      <c r="A59" s="29" t="n">
        <v>55</v>
      </c>
      <c r="B59" s="32" t="inlineStr">
        <is>
          <t>再生材料</t>
        </is>
      </c>
      <c r="C59" s="32" t="inlineStr">
        <is>
          <t>其他再生材料</t>
        </is>
      </c>
      <c r="D59" s="32" t="inlineStr"/>
      <c r="E59" s="35" t="inlineStr"/>
      <c r="F59" s="29" t="inlineStr">
        <is>
          <t>项</t>
        </is>
      </c>
      <c r="G59" s="36" t="n">
        <v>0</v>
      </c>
      <c r="H59" s="61">
        <f>IF(E59="","",E59*G59*(1-IF(K59="",0,K59/100))/1000)</f>
        <v/>
      </c>
      <c r="I59" s="32" t="inlineStr">
        <is>
          <t>估算</t>
        </is>
      </c>
      <c r="J59" s="36" t="inlineStr"/>
      <c r="K59" s="36" t="inlineStr"/>
      <c r="L59" s="32" t="inlineStr"/>
    </row>
    <row r="60">
      <c r="B60" s="62" t="inlineStr">
        <is>
          <t>结构材料小计</t>
        </is>
      </c>
      <c r="H60" s="62">
        <f>SUM(H5:H12)</f>
        <v/>
      </c>
    </row>
    <row r="61">
      <c r="B61" s="62" t="inlineStr">
        <is>
          <t>围护材料小计</t>
        </is>
      </c>
      <c r="H61" s="62">
        <f>SUM(H13:H24)</f>
        <v/>
      </c>
    </row>
    <row r="62">
      <c r="B62" s="62" t="inlineStr">
        <is>
          <t>屋面防水材料小计</t>
        </is>
      </c>
      <c r="H62" s="62">
        <f>SUM(H25:H29)</f>
        <v/>
      </c>
    </row>
    <row r="63">
      <c r="B63" s="62" t="inlineStr">
        <is>
          <t>装饰材料小计</t>
        </is>
      </c>
      <c r="H63" s="62">
        <f>SUM(H30:H39)</f>
        <v/>
      </c>
    </row>
    <row r="64">
      <c r="B64" s="62" t="inlineStr">
        <is>
          <t>安装材料小计</t>
        </is>
      </c>
      <c r="H64" s="62">
        <f>SUM(H40:H49)</f>
        <v/>
      </c>
    </row>
    <row r="65">
      <c r="B65" s="62" t="inlineStr">
        <is>
          <t>特殊材料小计</t>
        </is>
      </c>
      <c r="H65" s="62">
        <f>SUM(H50:H54)</f>
        <v/>
      </c>
    </row>
    <row r="66">
      <c r="B66" s="62" t="inlineStr">
        <is>
          <t>再生材料小计</t>
        </is>
      </c>
      <c r="H66" s="62">
        <f>SUM(H55:H59)</f>
        <v/>
      </c>
    </row>
    <row r="67">
      <c r="B67" s="63" t="inlineStr">
        <is>
          <t>建材生产阶段碳排放合计</t>
        </is>
      </c>
      <c r="H67" s="64">
        <f>SUM(H5:H59)</f>
        <v/>
      </c>
    </row>
    <row r="69">
      <c r="A69" s="26" t="inlineStr">
        <is>
          <t>5.2 建材运输阶段碳排放计算</t>
        </is>
      </c>
    </row>
    <row r="70" ht="30" customHeight="1">
      <c r="A70" s="65" t="inlineStr">
        <is>
          <t>序号</t>
        </is>
      </c>
      <c r="B70" s="65" t="inlineStr">
        <is>
          <t>建材名称</t>
        </is>
      </c>
      <c r="C70" s="65" t="inlineStr">
        <is>
          <t>运输量(t)</t>
        </is>
      </c>
      <c r="D70" s="65" t="inlineStr">
        <is>
          <t>平均运输距离(km)</t>
        </is>
      </c>
      <c r="E70" s="65" t="inlineStr">
        <is>
          <t>运输方式</t>
        </is>
      </c>
      <c r="F70" s="65" t="inlineStr">
        <is>
          <t>运输排放因子
[kgCO₂e/(t·km)]</t>
        </is>
      </c>
      <c r="G70" s="65" t="inlineStr">
        <is>
          <t>碳排放量(tCO₂e)</t>
        </is>
      </c>
      <c r="H70" s="65" t="inlineStr">
        <is>
          <t>数据来源</t>
        </is>
      </c>
      <c r="I70" s="65" t="inlineStr">
        <is>
          <t>运输路线</t>
        </is>
      </c>
      <c r="J70" s="65" t="inlineStr">
        <is>
          <t>备注</t>
        </is>
      </c>
    </row>
    <row r="71">
      <c r="A71" s="50" t="n">
        <v>1</v>
      </c>
      <c r="B71" s="50" t="inlineStr">
        <is>
          <t>钢筋</t>
        </is>
      </c>
      <c r="C71" s="66" t="inlineStr"/>
      <c r="D71" s="66" t="inlineStr"/>
      <c r="E71" s="50" t="inlineStr">
        <is>
          <t>公路运输（重载卡车）</t>
        </is>
      </c>
      <c r="F71" s="67" t="n">
        <v>0.0697</v>
      </c>
      <c r="G71" s="68">
        <f>IF(C71="","",C71*D71*F71/1000)</f>
        <v/>
      </c>
      <c r="H71" s="50" t="inlineStr">
        <is>
          <t>运输合同</t>
        </is>
      </c>
      <c r="I71" s="50" t="inlineStr"/>
      <c r="J71" s="50" t="inlineStr"/>
    </row>
    <row r="72">
      <c r="A72" s="50" t="n">
        <v>2</v>
      </c>
      <c r="B72" s="50" t="inlineStr">
        <is>
          <t>混凝土</t>
        </is>
      </c>
      <c r="C72" s="66" t="inlineStr"/>
      <c r="D72" s="66" t="inlineStr"/>
      <c r="E72" s="50" t="inlineStr">
        <is>
          <t>公路运输（商砼罐车）</t>
        </is>
      </c>
      <c r="F72" s="67" t="n">
        <v>0.0712</v>
      </c>
      <c r="G72" s="68">
        <f>IF(C72="","",C72*D72*F72/1000)</f>
        <v/>
      </c>
      <c r="H72" s="50" t="inlineStr">
        <is>
          <t>运输合同</t>
        </is>
      </c>
      <c r="I72" s="50" t="inlineStr">
        <is>
          <t>商砼站→工地</t>
        </is>
      </c>
      <c r="J72" s="50" t="inlineStr">
        <is>
          <t>短距离</t>
        </is>
      </c>
    </row>
    <row r="73">
      <c r="A73" s="50" t="n">
        <v>3</v>
      </c>
      <c r="B73" s="50" t="inlineStr">
        <is>
          <t>型钢</t>
        </is>
      </c>
      <c r="C73" s="66" t="inlineStr"/>
      <c r="D73" s="66" t="inlineStr"/>
      <c r="E73" s="50" t="inlineStr">
        <is>
          <t>公路运输（重载卡车）</t>
        </is>
      </c>
      <c r="F73" s="67" t="n">
        <v>0.0697</v>
      </c>
      <c r="G73" s="68">
        <f>IF(C73="","",C73*D73*F73/1000)</f>
        <v/>
      </c>
      <c r="H73" s="50" t="inlineStr">
        <is>
          <t>运输合同</t>
        </is>
      </c>
      <c r="I73" s="50" t="inlineStr"/>
      <c r="J73" s="50" t="inlineStr"/>
    </row>
    <row r="74">
      <c r="A74" s="50" t="n">
        <v>4</v>
      </c>
      <c r="B74" s="50" t="inlineStr">
        <is>
          <t>砌块/砖</t>
        </is>
      </c>
      <c r="C74" s="66" t="inlineStr"/>
      <c r="D74" s="66" t="inlineStr"/>
      <c r="E74" s="50" t="inlineStr">
        <is>
          <t>公路运输（中型卡车）</t>
        </is>
      </c>
      <c r="F74" s="67" t="n">
        <v>0.0658</v>
      </c>
      <c r="G74" s="68">
        <f>IF(C74="","",C74*D74*F74/1000)</f>
        <v/>
      </c>
      <c r="H74" s="50" t="inlineStr">
        <is>
          <t>运输合同</t>
        </is>
      </c>
      <c r="I74" s="50" t="inlineStr"/>
      <c r="J74" s="50" t="inlineStr"/>
    </row>
    <row r="75">
      <c r="A75" s="50" t="n">
        <v>5</v>
      </c>
      <c r="B75" s="50" t="inlineStr">
        <is>
          <t>玻璃</t>
        </is>
      </c>
      <c r="C75" s="66" t="inlineStr"/>
      <c r="D75" s="66" t="inlineStr"/>
      <c r="E75" s="50" t="inlineStr">
        <is>
          <t>公路运输（专用车）</t>
        </is>
      </c>
      <c r="F75" s="67" t="n">
        <v>0.0697</v>
      </c>
      <c r="G75" s="68">
        <f>IF(C75="","",C75*D75*F75/1000)</f>
        <v/>
      </c>
      <c r="H75" s="50" t="inlineStr">
        <is>
          <t>运输合同</t>
        </is>
      </c>
      <c r="I75" s="50" t="inlineStr">
        <is>
          <t>厂家→工地</t>
        </is>
      </c>
      <c r="J75" s="50" t="inlineStr">
        <is>
          <t>易碎品</t>
        </is>
      </c>
    </row>
    <row r="76">
      <c r="A76" s="50" t="n">
        <v>6</v>
      </c>
      <c r="B76" s="50" t="inlineStr">
        <is>
          <t>保温板</t>
        </is>
      </c>
      <c r="C76" s="66" t="inlineStr"/>
      <c r="D76" s="66" t="inlineStr"/>
      <c r="E76" s="50" t="inlineStr">
        <is>
          <t>公路运输（轻型卡车）</t>
        </is>
      </c>
      <c r="F76" s="67" t="n">
        <v>0.0625</v>
      </c>
      <c r="G76" s="68">
        <f>IF(C76="","",C76*D76*F76/1000)</f>
        <v/>
      </c>
      <c r="H76" s="50" t="inlineStr">
        <is>
          <t>运输合同</t>
        </is>
      </c>
      <c r="I76" s="50" t="inlineStr"/>
      <c r="J76" s="50" t="inlineStr"/>
    </row>
    <row r="77">
      <c r="A77" s="50" t="n">
        <v>7</v>
      </c>
      <c r="B77" s="50" t="inlineStr">
        <is>
          <t>石材</t>
        </is>
      </c>
      <c r="C77" s="66" t="inlineStr"/>
      <c r="D77" s="66" t="inlineStr"/>
      <c r="E77" s="50" t="inlineStr">
        <is>
          <t>公路运输（重载卡车）</t>
        </is>
      </c>
      <c r="F77" s="67" t="n">
        <v>0.0697</v>
      </c>
      <c r="G77" s="68">
        <f>IF(C77="","",C77*D77*F77/1000)</f>
        <v/>
      </c>
      <c r="H77" s="50" t="inlineStr">
        <is>
          <t>运输合同</t>
        </is>
      </c>
      <c r="I77" s="50" t="inlineStr">
        <is>
          <t>矿区→加工厂→工地</t>
        </is>
      </c>
      <c r="J77" s="50" t="inlineStr"/>
    </row>
    <row r="78">
      <c r="A78" s="50" t="n">
        <v>8</v>
      </c>
      <c r="B78" s="50" t="inlineStr">
        <is>
          <t>电缆/电线</t>
        </is>
      </c>
      <c r="C78" s="66" t="inlineStr"/>
      <c r="D78" s="66" t="inlineStr"/>
      <c r="E78" s="50" t="inlineStr">
        <is>
          <t>公路运输（轻型卡车）</t>
        </is>
      </c>
      <c r="F78" s="67" t="n">
        <v>0.0625</v>
      </c>
      <c r="G78" s="68">
        <f>IF(C78="","",C78*D78*F78/1000)</f>
        <v/>
      </c>
      <c r="H78" s="50" t="inlineStr">
        <is>
          <t>采购记录</t>
        </is>
      </c>
      <c r="I78" s="50" t="inlineStr"/>
      <c r="J78" s="50" t="inlineStr"/>
    </row>
    <row r="79">
      <c r="A79" s="50" t="n">
        <v>9</v>
      </c>
      <c r="B79" s="50" t="inlineStr">
        <is>
          <t>管材</t>
        </is>
      </c>
      <c r="C79" s="66" t="inlineStr"/>
      <c r="D79" s="66" t="inlineStr"/>
      <c r="E79" s="50" t="inlineStr">
        <is>
          <t>公路运输（中型卡车）</t>
        </is>
      </c>
      <c r="F79" s="67" t="n">
        <v>0.0658</v>
      </c>
      <c r="G79" s="68">
        <f>IF(C79="","",C79*D79*F79/1000)</f>
        <v/>
      </c>
      <c r="H79" s="50" t="inlineStr">
        <is>
          <t>采购记录</t>
        </is>
      </c>
      <c r="I79" s="50" t="inlineStr"/>
      <c r="J79" s="50" t="inlineStr"/>
    </row>
    <row r="80">
      <c r="A80" s="50" t="n">
        <v>10</v>
      </c>
      <c r="B80" s="50" t="inlineStr">
        <is>
          <t>设备（电梯等）</t>
        </is>
      </c>
      <c r="C80" s="66" t="inlineStr"/>
      <c r="D80" s="66" t="inlineStr"/>
      <c r="E80" s="50" t="inlineStr">
        <is>
          <t>公路运输（特种车）</t>
        </is>
      </c>
      <c r="F80" s="67" t="n">
        <v>0.0745</v>
      </c>
      <c r="G80" s="68">
        <f>IF(C80="","",C80*D80*F80/1000)</f>
        <v/>
      </c>
      <c r="H80" s="50" t="inlineStr">
        <is>
          <t>采购记录</t>
        </is>
      </c>
      <c r="I80" s="50" t="inlineStr">
        <is>
          <t>厂家→工地</t>
        </is>
      </c>
      <c r="J80" s="50" t="inlineStr">
        <is>
          <t>大件运输</t>
        </is>
      </c>
    </row>
    <row r="81">
      <c r="A81" s="50" t="n">
        <v>11</v>
      </c>
      <c r="B81" s="50" t="inlineStr">
        <is>
          <t>其他材料（合计）</t>
        </is>
      </c>
      <c r="C81" s="66" t="inlineStr"/>
      <c r="D81" s="66" t="inlineStr"/>
      <c r="E81" s="50" t="inlineStr">
        <is>
          <t>公路运输（综合）</t>
        </is>
      </c>
      <c r="F81" s="67" t="n">
        <v>0.0667</v>
      </c>
      <c r="G81" s="68">
        <f>IF(C81="","",C81*D81*F81/1000)</f>
        <v/>
      </c>
      <c r="H81" s="50" t="inlineStr">
        <is>
          <t>估算</t>
        </is>
      </c>
      <c r="I81" s="50" t="inlineStr"/>
      <c r="J81" s="50" t="inlineStr"/>
    </row>
    <row r="82">
      <c r="A82" s="50" t="n">
        <v>12</v>
      </c>
      <c r="B82" s="50" t="inlineStr">
        <is>
          <t>远距离运输（&gt;500km）</t>
        </is>
      </c>
      <c r="C82" s="66" t="inlineStr"/>
      <c r="D82" s="66" t="inlineStr"/>
      <c r="E82" s="50" t="inlineStr">
        <is>
          <t>铁路运输</t>
        </is>
      </c>
      <c r="F82" s="67" t="n">
        <v>0.008500000000000001</v>
      </c>
      <c r="G82" s="68">
        <f>IF(C82="","",C82*D82*F82/1000)</f>
        <v/>
      </c>
      <c r="H82" s="50" t="inlineStr">
        <is>
          <t>运输合同</t>
        </is>
      </c>
      <c r="I82" s="50" t="inlineStr"/>
      <c r="J82" s="50" t="inlineStr">
        <is>
          <t>大批量</t>
        </is>
      </c>
    </row>
    <row r="83">
      <c r="A83" s="50" t="n">
        <v>13</v>
      </c>
      <c r="B83" s="50" t="inlineStr">
        <is>
          <t>水运（如有）</t>
        </is>
      </c>
      <c r="C83" s="66" t="inlineStr"/>
      <c r="D83" s="66" t="inlineStr"/>
      <c r="E83" s="50" t="inlineStr">
        <is>
          <t>水路运输</t>
        </is>
      </c>
      <c r="F83" s="67" t="n">
        <v>0.0052</v>
      </c>
      <c r="G83" s="68">
        <f>IF(C83="","",C83*D83*F83/1000)</f>
        <v/>
      </c>
      <c r="H83" s="50" t="inlineStr">
        <is>
          <t>运输合同</t>
        </is>
      </c>
      <c r="I83" s="50" t="inlineStr"/>
      <c r="J83" s="50" t="inlineStr">
        <is>
          <t>沿海/内河</t>
        </is>
      </c>
    </row>
    <row r="84">
      <c r="B84" s="62" t="inlineStr">
        <is>
          <t>建材运输阶段碳排放合计</t>
        </is>
      </c>
      <c r="G84" s="62">
        <f>SUM(G71:G83)</f>
        <v/>
      </c>
    </row>
  </sheetData>
  <mergeCells count="3">
    <mergeCell ref="A3:L3"/>
    <mergeCell ref="A69:L69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CD4"/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5" customWidth="1" min="5" max="5"/>
    <col width="18" customWidth="1" min="6" max="6"/>
    <col width="18" customWidth="1" min="7" max="7"/>
    <col width="18" customWidth="1" min="8" max="8"/>
    <col width="20" customWidth="1" min="9" max="9"/>
  </cols>
  <sheetData>
    <row r="1">
      <c r="A1" s="33" t="inlineStr">
        <is>
          <t>建造及拆除阶段碳排放计算（含绿色施工措施）</t>
        </is>
      </c>
    </row>
    <row r="3">
      <c r="A3" s="26" t="inlineStr">
        <is>
          <t>6.1 建筑建造阶段 - 分部分项工程碳排放计算</t>
        </is>
      </c>
    </row>
    <row r="4" ht="30" customHeight="1">
      <c r="A4" s="69" t="inlineStr">
        <is>
          <t>序号</t>
        </is>
      </c>
      <c r="B4" s="69" t="inlineStr">
        <is>
          <t>分部工程</t>
        </is>
      </c>
      <c r="C4" s="69" t="inlineStr">
        <is>
          <t>分项工程名称</t>
        </is>
      </c>
      <c r="D4" s="69" t="inlineStr">
        <is>
          <t>工程量</t>
        </is>
      </c>
      <c r="E4" s="69" t="inlineStr">
        <is>
          <t>单位</t>
        </is>
      </c>
      <c r="F4" s="69" t="inlineStr">
        <is>
          <t>能耗系数
(kWh/单位)</t>
        </is>
      </c>
      <c r="G4" s="69" t="inlineStr">
        <is>
          <t>能源用量
(kWh)</t>
        </is>
      </c>
      <c r="H4" s="69" t="inlineStr">
        <is>
          <t>碳排放因子
(kgCO₂/kWh)</t>
        </is>
      </c>
      <c r="I4" s="69" t="inlineStr">
        <is>
          <t>碳排放量
(kgCO₂)</t>
        </is>
      </c>
      <c r="J4" s="69" t="inlineStr">
        <is>
          <t>备注</t>
        </is>
      </c>
    </row>
    <row r="5">
      <c r="A5" s="29" t="n">
        <v>1</v>
      </c>
      <c r="B5" s="32" t="inlineStr">
        <is>
          <t>地基与基础</t>
        </is>
      </c>
      <c r="C5" s="32" t="inlineStr">
        <is>
          <t>土方开挖</t>
        </is>
      </c>
      <c r="D5" s="35" t="inlineStr"/>
      <c r="E5" s="29" t="inlineStr">
        <is>
          <t>m³</t>
        </is>
      </c>
      <c r="F5" s="35" t="inlineStr"/>
      <c r="G5" s="61">
        <f>IF(D5="","",D5*F5)</f>
        <v/>
      </c>
      <c r="H5" s="29" t="n">
        <v>0.5836</v>
      </c>
      <c r="I5" s="61">
        <f>IF(G5="","",G5*H5/1000)</f>
        <v/>
      </c>
      <c r="J5" s="32" t="inlineStr">
        <is>
          <t>含外运</t>
        </is>
      </c>
    </row>
    <row r="6">
      <c r="A6" s="29" t="n">
        <v>2</v>
      </c>
      <c r="B6" s="32" t="inlineStr">
        <is>
          <t>地基与基础</t>
        </is>
      </c>
      <c r="C6" s="32" t="inlineStr">
        <is>
          <t>土方回填</t>
        </is>
      </c>
      <c r="D6" s="35" t="inlineStr"/>
      <c r="E6" s="29" t="inlineStr">
        <is>
          <t>m³</t>
        </is>
      </c>
      <c r="F6" s="35" t="inlineStr"/>
      <c r="G6" s="61">
        <f>IF(D6="","",D6*F6)</f>
        <v/>
      </c>
      <c r="H6" s="29" t="n">
        <v>0.5836</v>
      </c>
      <c r="I6" s="61">
        <f>IF(G6="","",G6*H6/1000)</f>
        <v/>
      </c>
      <c r="J6" s="32" t="inlineStr"/>
    </row>
    <row r="7">
      <c r="A7" s="29" t="n">
        <v>3</v>
      </c>
      <c r="B7" s="32" t="inlineStr">
        <is>
          <t>地基与基础</t>
        </is>
      </c>
      <c r="C7" s="32" t="inlineStr">
        <is>
          <t>地基处理（桩基）</t>
        </is>
      </c>
      <c r="D7" s="35" t="inlineStr"/>
      <c r="E7" s="29" t="inlineStr">
        <is>
          <t>m</t>
        </is>
      </c>
      <c r="F7" s="35" t="inlineStr"/>
      <c r="G7" s="61">
        <f>IF(D7="","",D7*F7)</f>
        <v/>
      </c>
      <c r="H7" s="29" t="n">
        <v>0.5836</v>
      </c>
      <c r="I7" s="61">
        <f>IF(G7="","",G7*H7/1000)</f>
        <v/>
      </c>
      <c r="J7" s="32" t="inlineStr">
        <is>
          <t>预制桩/灌注桩</t>
        </is>
      </c>
    </row>
    <row r="8">
      <c r="A8" s="29" t="n">
        <v>4</v>
      </c>
      <c r="B8" s="32" t="inlineStr">
        <is>
          <t>地基与基础</t>
        </is>
      </c>
      <c r="C8" s="32" t="inlineStr">
        <is>
          <t>基础混凝土</t>
        </is>
      </c>
      <c r="D8" s="35" t="inlineStr"/>
      <c r="E8" s="29" t="inlineStr">
        <is>
          <t>m³</t>
        </is>
      </c>
      <c r="F8" s="35" t="inlineStr"/>
      <c r="G8" s="61">
        <f>IF(D8="","",D8*F8)</f>
        <v/>
      </c>
      <c r="H8" s="29" t="n">
        <v>0.5836</v>
      </c>
      <c r="I8" s="61">
        <f>IF(G8="","",G8*H8/1000)</f>
        <v/>
      </c>
      <c r="J8" s="32" t="inlineStr">
        <is>
          <t>筏板/独立基础</t>
        </is>
      </c>
    </row>
    <row r="9">
      <c r="A9" s="29" t="n">
        <v>5</v>
      </c>
      <c r="B9" s="32" t="inlineStr">
        <is>
          <t>地基与基础</t>
        </is>
      </c>
      <c r="C9" s="32" t="inlineStr">
        <is>
          <t>基础钢筋</t>
        </is>
      </c>
      <c r="D9" s="35" t="inlineStr"/>
      <c r="E9" s="29" t="inlineStr">
        <is>
          <t>t</t>
        </is>
      </c>
      <c r="F9" s="35" t="inlineStr"/>
      <c r="G9" s="61">
        <f>IF(D9="","",D9*F9)</f>
        <v/>
      </c>
      <c r="H9" s="29" t="n">
        <v>0.5836</v>
      </c>
      <c r="I9" s="61">
        <f>IF(G9="","",G9*H9/1000)</f>
        <v/>
      </c>
      <c r="J9" s="32" t="inlineStr"/>
    </row>
    <row r="10">
      <c r="A10" s="29" t="n">
        <v>6</v>
      </c>
      <c r="B10" s="32" t="inlineStr">
        <is>
          <t>主体结构</t>
        </is>
      </c>
      <c r="C10" s="32" t="inlineStr">
        <is>
          <t>柱混凝土</t>
        </is>
      </c>
      <c r="D10" s="35" t="inlineStr"/>
      <c r="E10" s="29" t="inlineStr">
        <is>
          <t>m³</t>
        </is>
      </c>
      <c r="F10" s="35" t="inlineStr"/>
      <c r="G10" s="61">
        <f>IF(D10="","",D10*F10)</f>
        <v/>
      </c>
      <c r="H10" s="29" t="n">
        <v>0.5836</v>
      </c>
      <c r="I10" s="61">
        <f>IF(G10="","",G10*H10/1000)</f>
        <v/>
      </c>
      <c r="J10" s="32" t="inlineStr"/>
    </row>
    <row r="11">
      <c r="A11" s="29" t="n">
        <v>7</v>
      </c>
      <c r="B11" s="32" t="inlineStr">
        <is>
          <t>主体结构</t>
        </is>
      </c>
      <c r="C11" s="32" t="inlineStr">
        <is>
          <t>柱钢筋</t>
        </is>
      </c>
      <c r="D11" s="35" t="inlineStr"/>
      <c r="E11" s="29" t="inlineStr">
        <is>
          <t>t</t>
        </is>
      </c>
      <c r="F11" s="35" t="inlineStr"/>
      <c r="G11" s="61">
        <f>IF(D11="","",D11*F11)</f>
        <v/>
      </c>
      <c r="H11" s="29" t="n">
        <v>0.5836</v>
      </c>
      <c r="I11" s="61">
        <f>IF(G11="","",G11*H11/1000)</f>
        <v/>
      </c>
      <c r="J11" s="32" t="inlineStr"/>
    </row>
    <row r="12">
      <c r="A12" s="29" t="n">
        <v>8</v>
      </c>
      <c r="B12" s="32" t="inlineStr">
        <is>
          <t>主体结构</t>
        </is>
      </c>
      <c r="C12" s="32" t="inlineStr">
        <is>
          <t>梁板混凝土</t>
        </is>
      </c>
      <c r="D12" s="35" t="inlineStr"/>
      <c r="E12" s="29" t="inlineStr">
        <is>
          <t>m³</t>
        </is>
      </c>
      <c r="F12" s="35" t="inlineStr"/>
      <c r="G12" s="61">
        <f>IF(D12="","",D12*F12)</f>
        <v/>
      </c>
      <c r="H12" s="29" t="n">
        <v>0.5836</v>
      </c>
      <c r="I12" s="61">
        <f>IF(G12="","",G12*H12/1000)</f>
        <v/>
      </c>
      <c r="J12" s="32" t="inlineStr"/>
    </row>
    <row r="13">
      <c r="A13" s="29" t="n">
        <v>9</v>
      </c>
      <c r="B13" s="32" t="inlineStr">
        <is>
          <t>主体结构</t>
        </is>
      </c>
      <c r="C13" s="32" t="inlineStr">
        <is>
          <t>梁板钢筋</t>
        </is>
      </c>
      <c r="D13" s="35" t="inlineStr"/>
      <c r="E13" s="29" t="inlineStr">
        <is>
          <t>t</t>
        </is>
      </c>
      <c r="F13" s="35" t="inlineStr"/>
      <c r="G13" s="61">
        <f>IF(D13="","",D13*F13)</f>
        <v/>
      </c>
      <c r="H13" s="29" t="n">
        <v>0.5836</v>
      </c>
      <c r="I13" s="61">
        <f>IF(G13="","",G13*H13/1000)</f>
        <v/>
      </c>
      <c r="J13" s="32" t="inlineStr"/>
    </row>
    <row r="14">
      <c r="A14" s="29" t="n">
        <v>10</v>
      </c>
      <c r="B14" s="32" t="inlineStr">
        <is>
          <t>主体结构</t>
        </is>
      </c>
      <c r="C14" s="32" t="inlineStr">
        <is>
          <t>墙体混凝土</t>
        </is>
      </c>
      <c r="D14" s="35" t="inlineStr"/>
      <c r="E14" s="29" t="inlineStr">
        <is>
          <t>m³</t>
        </is>
      </c>
      <c r="F14" s="35" t="inlineStr"/>
      <c r="G14" s="61">
        <f>IF(D14="","",D14*F14)</f>
        <v/>
      </c>
      <c r="H14" s="29" t="n">
        <v>0.5836</v>
      </c>
      <c r="I14" s="61">
        <f>IF(G14="","",G14*H14/1000)</f>
        <v/>
      </c>
      <c r="J14" s="32" t="inlineStr">
        <is>
          <t>剪力墙</t>
        </is>
      </c>
    </row>
    <row r="15">
      <c r="A15" s="29" t="n">
        <v>11</v>
      </c>
      <c r="B15" s="32" t="inlineStr">
        <is>
          <t>主体结构</t>
        </is>
      </c>
      <c r="C15" s="32" t="inlineStr">
        <is>
          <t>墙体钢筋</t>
        </is>
      </c>
      <c r="D15" s="35" t="inlineStr"/>
      <c r="E15" s="29" t="inlineStr">
        <is>
          <t>t</t>
        </is>
      </c>
      <c r="F15" s="35" t="inlineStr"/>
      <c r="G15" s="61">
        <f>IF(D15="","",D15*F15)</f>
        <v/>
      </c>
      <c r="H15" s="29" t="n">
        <v>0.5836</v>
      </c>
      <c r="I15" s="61">
        <f>IF(G15="","",G15*H15/1000)</f>
        <v/>
      </c>
      <c r="J15" s="32" t="inlineStr"/>
    </row>
    <row r="16">
      <c r="A16" s="29" t="n">
        <v>12</v>
      </c>
      <c r="B16" s="32" t="inlineStr">
        <is>
          <t>主体结构</t>
        </is>
      </c>
      <c r="C16" s="32" t="inlineStr">
        <is>
          <t>钢结构安装</t>
        </is>
      </c>
      <c r="D16" s="35" t="inlineStr"/>
      <c r="E16" s="29" t="inlineStr">
        <is>
          <t>t</t>
        </is>
      </c>
      <c r="F16" s="35" t="inlineStr"/>
      <c r="G16" s="61">
        <f>IF(D16="","",D16*F16)</f>
        <v/>
      </c>
      <c r="H16" s="29" t="n">
        <v>0.5836</v>
      </c>
      <c r="I16" s="61">
        <f>IF(G16="","",G16*H16/1000)</f>
        <v/>
      </c>
      <c r="J16" s="32" t="inlineStr">
        <is>
          <t>如有钢结构</t>
        </is>
      </c>
    </row>
    <row r="17">
      <c r="A17" s="29" t="n">
        <v>13</v>
      </c>
      <c r="B17" s="32" t="inlineStr">
        <is>
          <t>装饰装修</t>
        </is>
      </c>
      <c r="C17" s="32" t="inlineStr">
        <is>
          <t>砌体工程</t>
        </is>
      </c>
      <c r="D17" s="35" t="inlineStr"/>
      <c r="E17" s="29" t="inlineStr">
        <is>
          <t>m³</t>
        </is>
      </c>
      <c r="F17" s="35" t="inlineStr"/>
      <c r="G17" s="61">
        <f>IF(D17="","",D17*F17)</f>
        <v/>
      </c>
      <c r="H17" s="29" t="n">
        <v>0.5836</v>
      </c>
      <c r="I17" s="61">
        <f>IF(G17="","",G17*H17/1000)</f>
        <v/>
      </c>
      <c r="J17" s="32" t="inlineStr">
        <is>
          <t>填充墙</t>
        </is>
      </c>
    </row>
    <row r="18">
      <c r="A18" s="29" t="n">
        <v>14</v>
      </c>
      <c r="B18" s="32" t="inlineStr">
        <is>
          <t>装饰装修</t>
        </is>
      </c>
      <c r="C18" s="32" t="inlineStr">
        <is>
          <t>外墙保温</t>
        </is>
      </c>
      <c r="D18" s="35" t="inlineStr"/>
      <c r="E18" s="29" t="inlineStr">
        <is>
          <t>m²</t>
        </is>
      </c>
      <c r="F18" s="35" t="inlineStr"/>
      <c r="G18" s="61">
        <f>IF(D18="","",D18*F18)</f>
        <v/>
      </c>
      <c r="H18" s="29" t="n">
        <v>0.5836</v>
      </c>
      <c r="I18" s="61">
        <f>IF(G18="","",G18*H18/1000)</f>
        <v/>
      </c>
      <c r="J18" s="32" t="inlineStr"/>
    </row>
    <row r="19">
      <c r="A19" s="29" t="n">
        <v>15</v>
      </c>
      <c r="B19" s="32" t="inlineStr">
        <is>
          <t>装饰装修</t>
        </is>
      </c>
      <c r="C19" s="32" t="inlineStr">
        <is>
          <t>外墙装饰</t>
        </is>
      </c>
      <c r="D19" s="35" t="inlineStr"/>
      <c r="E19" s="29" t="inlineStr">
        <is>
          <t>m²</t>
        </is>
      </c>
      <c r="F19" s="35" t="inlineStr"/>
      <c r="G19" s="61">
        <f>IF(D19="","",D19*F19)</f>
        <v/>
      </c>
      <c r="H19" s="29" t="n">
        <v>0.5836</v>
      </c>
      <c r="I19" s="61">
        <f>IF(G19="","",G19*H19/1000)</f>
        <v/>
      </c>
      <c r="J19" s="32" t="inlineStr">
        <is>
          <t>涂料/幕墙/石材</t>
        </is>
      </c>
    </row>
    <row r="20">
      <c r="A20" s="29" t="n">
        <v>16</v>
      </c>
      <c r="B20" s="32" t="inlineStr">
        <is>
          <t>装饰装修</t>
        </is>
      </c>
      <c r="C20" s="32" t="inlineStr">
        <is>
          <t>内墙装饰</t>
        </is>
      </c>
      <c r="D20" s="35" t="inlineStr"/>
      <c r="E20" s="29" t="inlineStr">
        <is>
          <t>m²</t>
        </is>
      </c>
      <c r="F20" s="35" t="inlineStr"/>
      <c r="G20" s="61">
        <f>IF(D20="","",D20*F20)</f>
        <v/>
      </c>
      <c r="H20" s="29" t="n">
        <v>0.5836</v>
      </c>
      <c r="I20" s="61">
        <f>IF(G20="","",G20*H20/1000)</f>
        <v/>
      </c>
      <c r="J20" s="32" t="inlineStr">
        <is>
          <t>抹灰/涂料/壁纸</t>
        </is>
      </c>
    </row>
    <row r="21">
      <c r="A21" s="29" t="n">
        <v>17</v>
      </c>
      <c r="B21" s="32" t="inlineStr">
        <is>
          <t>装饰装修</t>
        </is>
      </c>
      <c r="C21" s="32" t="inlineStr">
        <is>
          <t>楼地面工程</t>
        </is>
      </c>
      <c r="D21" s="35" t="inlineStr"/>
      <c r="E21" s="29" t="inlineStr">
        <is>
          <t>m²</t>
        </is>
      </c>
      <c r="F21" s="35" t="inlineStr"/>
      <c r="G21" s="61">
        <f>IF(D21="","",D21*F21)</f>
        <v/>
      </c>
      <c r="H21" s="29" t="n">
        <v>0.5836</v>
      </c>
      <c r="I21" s="61">
        <f>IF(G21="","",G21*H21/1000)</f>
        <v/>
      </c>
      <c r="J21" s="32" t="inlineStr">
        <is>
          <t>地砖/地板/石材</t>
        </is>
      </c>
    </row>
    <row r="22">
      <c r="A22" s="29" t="n">
        <v>18</v>
      </c>
      <c r="B22" s="32" t="inlineStr">
        <is>
          <t>装饰装修</t>
        </is>
      </c>
      <c r="C22" s="32" t="inlineStr">
        <is>
          <t>门窗安装</t>
        </is>
      </c>
      <c r="D22" s="35" t="inlineStr"/>
      <c r="E22" s="29" t="inlineStr">
        <is>
          <t>m²</t>
        </is>
      </c>
      <c r="F22" s="35" t="inlineStr"/>
      <c r="G22" s="61">
        <f>IF(D22="","",D22*F22)</f>
        <v/>
      </c>
      <c r="H22" s="29" t="n">
        <v>0.5836</v>
      </c>
      <c r="I22" s="61">
        <f>IF(G22="","",G22*H22/1000)</f>
        <v/>
      </c>
      <c r="J22" s="32" t="inlineStr"/>
    </row>
    <row r="23">
      <c r="A23" s="29" t="n">
        <v>19</v>
      </c>
      <c r="B23" s="32" t="inlineStr">
        <is>
          <t>机电安装</t>
        </is>
      </c>
      <c r="C23" s="32" t="inlineStr">
        <is>
          <t>给排水系统</t>
        </is>
      </c>
      <c r="D23" s="35" t="inlineStr"/>
      <c r="E23" s="29" t="inlineStr">
        <is>
          <t>项</t>
        </is>
      </c>
      <c r="F23" s="35" t="inlineStr"/>
      <c r="G23" s="61">
        <f>IF(D23="","",D23*F23)</f>
        <v/>
      </c>
      <c r="H23" s="29" t="n">
        <v>0.5836</v>
      </c>
      <c r="I23" s="61">
        <f>IF(G23="","",G23*H23/1000)</f>
        <v/>
      </c>
      <c r="J23" s="32" t="inlineStr"/>
    </row>
    <row r="24">
      <c r="A24" s="29" t="n">
        <v>20</v>
      </c>
      <c r="B24" s="32" t="inlineStr">
        <is>
          <t>机电安装</t>
        </is>
      </c>
      <c r="C24" s="32" t="inlineStr">
        <is>
          <t>电气系统</t>
        </is>
      </c>
      <c r="D24" s="35" t="inlineStr"/>
      <c r="E24" s="29" t="inlineStr">
        <is>
          <t>项</t>
        </is>
      </c>
      <c r="F24" s="35" t="inlineStr"/>
      <c r="G24" s="61">
        <f>IF(D24="","",D24*F24)</f>
        <v/>
      </c>
      <c r="H24" s="29" t="n">
        <v>0.5836</v>
      </c>
      <c r="I24" s="61">
        <f>IF(G24="","",G24*H24/1000)</f>
        <v/>
      </c>
      <c r="J24" s="32" t="inlineStr"/>
    </row>
    <row r="25">
      <c r="A25" s="29" t="n">
        <v>21</v>
      </c>
      <c r="B25" s="32" t="inlineStr">
        <is>
          <t>机电安装</t>
        </is>
      </c>
      <c r="C25" s="32" t="inlineStr">
        <is>
          <t>暖通系统</t>
        </is>
      </c>
      <c r="D25" s="35" t="inlineStr"/>
      <c r="E25" s="29" t="inlineStr">
        <is>
          <t>项</t>
        </is>
      </c>
      <c r="F25" s="35" t="inlineStr"/>
      <c r="G25" s="61">
        <f>IF(D25="","",D25*F25)</f>
        <v/>
      </c>
      <c r="H25" s="29" t="n">
        <v>0.5836</v>
      </c>
      <c r="I25" s="61">
        <f>IF(G25="","",G25*H25/1000)</f>
        <v/>
      </c>
      <c r="J25" s="32" t="inlineStr"/>
    </row>
    <row r="26">
      <c r="A26" s="29" t="n">
        <v>22</v>
      </c>
      <c r="B26" s="32" t="inlineStr">
        <is>
          <t>机电安装</t>
        </is>
      </c>
      <c r="C26" s="32" t="inlineStr">
        <is>
          <t>消防系统</t>
        </is>
      </c>
      <c r="D26" s="35" t="inlineStr"/>
      <c r="E26" s="29" t="inlineStr">
        <is>
          <t>项</t>
        </is>
      </c>
      <c r="F26" s="35" t="inlineStr"/>
      <c r="G26" s="61">
        <f>IF(D26="","",D26*F26)</f>
        <v/>
      </c>
      <c r="H26" s="29" t="n">
        <v>0.5836</v>
      </c>
      <c r="I26" s="61">
        <f>IF(G26="","",G26*H26/1000)</f>
        <v/>
      </c>
      <c r="J26" s="32" t="inlineStr"/>
    </row>
    <row r="27">
      <c r="A27" s="29" t="n">
        <v>23</v>
      </c>
      <c r="B27" s="32" t="inlineStr">
        <is>
          <t>机电安装</t>
        </is>
      </c>
      <c r="C27" s="32" t="inlineStr">
        <is>
          <t>智能化系统</t>
        </is>
      </c>
      <c r="D27" s="35" t="inlineStr"/>
      <c r="E27" s="29" t="inlineStr">
        <is>
          <t>项</t>
        </is>
      </c>
      <c r="F27" s="35" t="inlineStr"/>
      <c r="G27" s="61">
        <f>IF(D27="","",D27*F27)</f>
        <v/>
      </c>
      <c r="H27" s="29" t="n">
        <v>0.5836</v>
      </c>
      <c r="I27" s="61">
        <f>IF(G27="","",G27*H27/1000)</f>
        <v/>
      </c>
      <c r="J27" s="32" t="inlineStr"/>
    </row>
    <row r="28">
      <c r="A28" s="29" t="n">
        <v>24</v>
      </c>
      <c r="B28" s="32" t="inlineStr">
        <is>
          <t>机电安装</t>
        </is>
      </c>
      <c r="C28" s="32" t="inlineStr">
        <is>
          <t>电梯安装</t>
        </is>
      </c>
      <c r="D28" s="35" t="inlineStr"/>
      <c r="E28" s="29" t="inlineStr">
        <is>
          <t>台</t>
        </is>
      </c>
      <c r="F28" s="35" t="inlineStr"/>
      <c r="G28" s="61">
        <f>IF(D28="","",D28*F28)</f>
        <v/>
      </c>
      <c r="H28" s="29" t="n">
        <v>0.5836</v>
      </c>
      <c r="I28" s="61">
        <f>IF(G28="","",G28*H28/1000)</f>
        <v/>
      </c>
      <c r="J28" s="32" t="inlineStr"/>
    </row>
    <row r="29">
      <c r="B29" s="63" t="inlineStr">
        <is>
          <t>建造阶段碳排放合计</t>
        </is>
      </c>
      <c r="I29" s="64">
        <f>SUM(I5:I28)</f>
        <v/>
      </c>
    </row>
    <row r="31">
      <c r="A31" s="26" t="inlineStr">
        <is>
          <t>6.2 建筑拆除阶段碳排放计算</t>
        </is>
      </c>
    </row>
    <row r="32" ht="30" customHeight="1">
      <c r="A32" s="70" t="inlineStr">
        <is>
          <t>序号</t>
        </is>
      </c>
      <c r="B32" s="70" t="inlineStr">
        <is>
          <t>拆除项目</t>
        </is>
      </c>
      <c r="C32" s="70" t="inlineStr">
        <is>
          <t>工程量</t>
        </is>
      </c>
      <c r="D32" s="70" t="inlineStr">
        <is>
          <t>单位</t>
        </is>
      </c>
      <c r="E32" s="70" t="inlineStr">
        <is>
          <t>能耗系数(kWh/单位)</t>
        </is>
      </c>
      <c r="F32" s="70" t="inlineStr">
        <is>
          <t>能源用量(kWh)</t>
        </is>
      </c>
      <c r="G32" s="70" t="inlineStr">
        <is>
          <t>碳排放因子(kgCO₂/kWh)</t>
        </is>
      </c>
      <c r="H32" s="70" t="inlineStr">
        <is>
          <t>碳排放量(kgCO₂)</t>
        </is>
      </c>
      <c r="I32" s="70" t="inlineStr">
        <is>
          <t>备注</t>
        </is>
      </c>
    </row>
    <row r="33">
      <c r="A33" s="50" t="n">
        <v>1</v>
      </c>
      <c r="B33" s="50" t="inlineStr">
        <is>
          <t>人工拆除（墙体）</t>
        </is>
      </c>
      <c r="C33" s="66" t="inlineStr"/>
      <c r="D33" s="50" t="inlineStr">
        <is>
          <t>m²</t>
        </is>
      </c>
      <c r="E33" s="66" t="inlineStr"/>
      <c r="F33" s="49">
        <f>IF(C33="","",C33*E33)</f>
        <v/>
      </c>
      <c r="G33" s="50" t="n">
        <v>0.5836</v>
      </c>
      <c r="H33" s="49">
        <f>IF(F33="","",F33*G33/1000)</f>
        <v/>
      </c>
      <c r="I33" s="50" t="inlineStr"/>
    </row>
    <row r="34">
      <c r="A34" s="50" t="n">
        <v>2</v>
      </c>
      <c r="B34" s="50" t="inlineStr">
        <is>
          <t>人工拆除（楼板）</t>
        </is>
      </c>
      <c r="C34" s="66" t="inlineStr"/>
      <c r="D34" s="50" t="inlineStr">
        <is>
          <t>m²</t>
        </is>
      </c>
      <c r="E34" s="66" t="inlineStr"/>
      <c r="F34" s="49">
        <f>IF(C34="","",C34*E34)</f>
        <v/>
      </c>
      <c r="G34" s="50" t="n">
        <v>0.5836</v>
      </c>
      <c r="H34" s="49">
        <f>IF(F34="","",F34*G34/1000)</f>
        <v/>
      </c>
      <c r="I34" s="50" t="inlineStr"/>
    </row>
    <row r="35">
      <c r="A35" s="50" t="n">
        <v>3</v>
      </c>
      <c r="B35" s="50" t="inlineStr">
        <is>
          <t>机械拆除（主体）</t>
        </is>
      </c>
      <c r="C35" s="66" t="inlineStr"/>
      <c r="D35" s="50" t="inlineStr">
        <is>
          <t>m²</t>
        </is>
      </c>
      <c r="E35" s="66" t="inlineStr"/>
      <c r="F35" s="49">
        <f>IF(C35="","",C35*E35)</f>
        <v/>
      </c>
      <c r="G35" s="50" t="n">
        <v>0.5836</v>
      </c>
      <c r="H35" s="49">
        <f>IF(F35="","",F35*G35/1000)</f>
        <v/>
      </c>
      <c r="I35" s="50" t="inlineStr"/>
    </row>
    <row r="36">
      <c r="A36" s="50" t="n">
        <v>4</v>
      </c>
      <c r="B36" s="50" t="inlineStr">
        <is>
          <t>机械拆除（基础）</t>
        </is>
      </c>
      <c r="C36" s="66" t="inlineStr"/>
      <c r="D36" s="50" t="inlineStr">
        <is>
          <t>m³</t>
        </is>
      </c>
      <c r="E36" s="66" t="inlineStr"/>
      <c r="F36" s="49">
        <f>IF(C36="","",C36*E36)</f>
        <v/>
      </c>
      <c r="G36" s="50" t="n">
        <v>0.5836</v>
      </c>
      <c r="H36" s="49">
        <f>IF(F36="","",F36*G36/1000)</f>
        <v/>
      </c>
      <c r="I36" s="50" t="inlineStr"/>
    </row>
    <row r="37">
      <c r="A37" s="50" t="n">
        <v>5</v>
      </c>
      <c r="B37" s="50" t="inlineStr">
        <is>
          <t>垃圾外运</t>
        </is>
      </c>
      <c r="C37" s="66" t="inlineStr"/>
      <c r="D37" s="50" t="inlineStr">
        <is>
          <t>t</t>
        </is>
      </c>
      <c r="E37" s="66" t="inlineStr"/>
      <c r="F37" s="49">
        <f>IF(C37="","",C37*E37)</f>
        <v/>
      </c>
      <c r="G37" s="50" t="n">
        <v>0.5836</v>
      </c>
      <c r="H37" s="49">
        <f>IF(F37="","",F37*G37/1000)</f>
        <v/>
      </c>
      <c r="I37" s="50" t="inlineStr"/>
    </row>
    <row r="38">
      <c r="A38" s="50" t="n">
        <v>6</v>
      </c>
      <c r="B38" s="50" t="inlineStr">
        <is>
          <t>拆除垃圾分拣</t>
        </is>
      </c>
      <c r="C38" s="66" t="inlineStr"/>
      <c r="D38" s="50" t="inlineStr">
        <is>
          <t>t</t>
        </is>
      </c>
      <c r="E38" s="66" t="inlineStr"/>
      <c r="F38" s="49">
        <f>IF(C38="","",C38*E38)</f>
        <v/>
      </c>
      <c r="G38" s="50" t="n">
        <v>0.5836</v>
      </c>
      <c r="H38" s="49">
        <f>IF(F38="","",F38*G38/1000)</f>
        <v/>
      </c>
      <c r="I38" s="50" t="inlineStr"/>
    </row>
    <row r="39">
      <c r="A39" s="50" t="n">
        <v>7</v>
      </c>
      <c r="B39" s="50" t="inlineStr">
        <is>
          <t>危险废物处理</t>
        </is>
      </c>
      <c r="C39" s="66" t="inlineStr"/>
      <c r="D39" s="50" t="inlineStr">
        <is>
          <t>t</t>
        </is>
      </c>
      <c r="E39" s="66" t="inlineStr"/>
      <c r="F39" s="49">
        <f>IF(C39="","",C39*E39)</f>
        <v/>
      </c>
      <c r="G39" s="50" t="n">
        <v>0.5836</v>
      </c>
      <c r="H39" s="49">
        <f>IF(F39="","",F39*G39/1000)</f>
        <v/>
      </c>
      <c r="I39" s="50" t="inlineStr"/>
    </row>
    <row r="40">
      <c r="B40" s="62" t="inlineStr">
        <is>
          <t>拆除阶段碳排放合计</t>
        </is>
      </c>
      <c r="H40" s="62">
        <f>SUM(H33:H39)</f>
        <v/>
      </c>
    </row>
  </sheetData>
  <mergeCells count="3">
    <mergeCell ref="A1:J1"/>
    <mergeCell ref="A31:J3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95548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0" customWidth="1" min="4" max="4"/>
    <col width="18" customWidth="1" min="5" max="5"/>
    <col width="20" customWidth="1" min="6" max="6"/>
    <col width="18" customWidth="1" min="7" max="7"/>
    <col width="18" customWidth="1" min="8" max="8"/>
    <col width="15" customWidth="1" min="9" max="9"/>
    <col width="20" customWidth="1" min="10" max="10"/>
  </cols>
  <sheetData>
    <row r="1">
      <c r="A1" s="33" t="inlineStr">
        <is>
          <t>水资源消耗与废弃物处理碳排放计算</t>
        </is>
      </c>
    </row>
    <row r="3">
      <c r="A3" s="26" t="inlineStr">
        <is>
          <t>7.1 水资源消耗碳排放（供水、排水、水处理）</t>
        </is>
      </c>
    </row>
    <row r="4" ht="30" customHeight="1">
      <c r="A4" s="28" t="inlineStr">
        <is>
          <t>序号</t>
        </is>
      </c>
      <c r="B4" s="28" t="inlineStr">
        <is>
          <t>用水类型</t>
        </is>
      </c>
      <c r="C4" s="28" t="inlineStr">
        <is>
          <t>年用水量</t>
        </is>
      </c>
      <c r="D4" s="28" t="inlineStr">
        <is>
          <t>单位</t>
        </is>
      </c>
      <c r="E4" s="28" t="inlineStr">
        <is>
          <t>供水能耗系数(kWh/m³)</t>
        </is>
      </c>
      <c r="F4" s="28" t="inlineStr">
        <is>
          <t>供水碳排放(tCO₂)</t>
        </is>
      </c>
      <c r="G4" s="28" t="inlineStr">
        <is>
          <t>排水处理能耗(kWh/m³)</t>
        </is>
      </c>
      <c r="H4" s="28" t="inlineStr">
        <is>
          <t>排水碳排放(tCO₂)</t>
        </is>
      </c>
      <c r="I4" s="28" t="inlineStr">
        <is>
          <t>数据来源</t>
        </is>
      </c>
      <c r="J4" s="28" t="inlineStr">
        <is>
          <t>备注</t>
        </is>
      </c>
    </row>
    <row r="5">
      <c r="A5" s="50" t="n">
        <v>1</v>
      </c>
      <c r="B5" s="50" t="inlineStr">
        <is>
          <t>生活用水（办公）</t>
        </is>
      </c>
      <c r="C5" s="66" t="inlineStr"/>
      <c r="D5" s="50" t="inlineStr">
        <is>
          <t>m³</t>
        </is>
      </c>
      <c r="E5" s="67" t="n">
        <v>0.35</v>
      </c>
      <c r="F5" s="68">
        <f>IF(C5="","",C5*E5*0.5836/1000)</f>
        <v/>
      </c>
      <c r="G5" s="67" t="n">
        <v>0.25</v>
      </c>
      <c r="H5" s="68">
        <f>IF(C5="","",C5*G5*0.5836/1000)</f>
        <v/>
      </c>
      <c r="I5" s="50" t="inlineStr">
        <is>
          <t>水表</t>
        </is>
      </c>
      <c r="J5" s="50" t="inlineStr">
        <is>
          <t>人均40-60L/天</t>
        </is>
      </c>
    </row>
    <row r="6">
      <c r="A6" s="50" t="n">
        <v>2</v>
      </c>
      <c r="B6" s="50" t="inlineStr">
        <is>
          <t>生活用水（餐饮）</t>
        </is>
      </c>
      <c r="C6" s="66" t="inlineStr"/>
      <c r="D6" s="50" t="inlineStr">
        <is>
          <t>m³</t>
        </is>
      </c>
      <c r="E6" s="67" t="n">
        <v>0.35</v>
      </c>
      <c r="F6" s="68">
        <f>IF(C6="","",C6*E6*0.5836/1000)</f>
        <v/>
      </c>
      <c r="G6" s="67" t="n">
        <v>0.25</v>
      </c>
      <c r="H6" s="68">
        <f>IF(C6="","",C6*G6*0.5836/1000)</f>
        <v/>
      </c>
      <c r="I6" s="50" t="inlineStr">
        <is>
          <t>水表</t>
        </is>
      </c>
      <c r="J6" s="50" t="inlineStr"/>
    </row>
    <row r="7">
      <c r="A7" s="50" t="n">
        <v>3</v>
      </c>
      <c r="B7" s="50" t="inlineStr">
        <is>
          <t>生活用水（卫生）</t>
        </is>
      </c>
      <c r="C7" s="66" t="inlineStr"/>
      <c r="D7" s="50" t="inlineStr">
        <is>
          <t>m³</t>
        </is>
      </c>
      <c r="E7" s="67" t="n">
        <v>0.35</v>
      </c>
      <c r="F7" s="68">
        <f>IF(C7="","",C7*E7*0.5836/1000)</f>
        <v/>
      </c>
      <c r="G7" s="67" t="n">
        <v>0.25</v>
      </c>
      <c r="H7" s="68">
        <f>IF(C7="","",C7*G7*0.5836/1000)</f>
        <v/>
      </c>
      <c r="I7" s="50" t="inlineStr">
        <is>
          <t>水表</t>
        </is>
      </c>
      <c r="J7" s="50" t="inlineStr"/>
    </row>
    <row r="8">
      <c r="A8" s="50" t="n">
        <v>4</v>
      </c>
      <c r="B8" s="50" t="inlineStr">
        <is>
          <t>空调补水</t>
        </is>
      </c>
      <c r="C8" s="66" t="inlineStr"/>
      <c r="D8" s="50" t="inlineStr">
        <is>
          <t>m³</t>
        </is>
      </c>
      <c r="E8" s="67" t="n">
        <v>0.35</v>
      </c>
      <c r="F8" s="68">
        <f>IF(C8="","",C8*E8*0.5836/1000)</f>
        <v/>
      </c>
      <c r="G8" s="67" t="n">
        <v>0.25</v>
      </c>
      <c r="H8" s="68">
        <f>IF(C8="","",C8*G8*0.5836/1000)</f>
        <v/>
      </c>
      <c r="I8" s="50" t="inlineStr">
        <is>
          <t>运行记录</t>
        </is>
      </c>
      <c r="J8" s="50" t="inlineStr">
        <is>
          <t>冷却塔补水</t>
        </is>
      </c>
    </row>
    <row r="9">
      <c r="A9" s="50" t="n">
        <v>5</v>
      </c>
      <c r="B9" s="50" t="inlineStr">
        <is>
          <t>绿化灌溉用水</t>
        </is>
      </c>
      <c r="C9" s="66" t="inlineStr"/>
      <c r="D9" s="50" t="inlineStr">
        <is>
          <t>m³</t>
        </is>
      </c>
      <c r="E9" s="67" t="n">
        <v>0.35</v>
      </c>
      <c r="F9" s="68">
        <f>IF(C9="","",C9*E9*0.5836/1000)</f>
        <v/>
      </c>
      <c r="G9" s="67" t="n">
        <v>0.25</v>
      </c>
      <c r="H9" s="68">
        <f>IF(C9="","",C9*G9*0.5836/1000)</f>
        <v/>
      </c>
      <c r="I9" s="50" t="inlineStr">
        <is>
          <t>运行记录</t>
        </is>
      </c>
      <c r="J9" s="50" t="inlineStr"/>
    </row>
    <row r="10">
      <c r="A10" s="50" t="n">
        <v>6</v>
      </c>
      <c r="B10" s="50" t="inlineStr">
        <is>
          <t>道路清洗用水</t>
        </is>
      </c>
      <c r="C10" s="66" t="inlineStr"/>
      <c r="D10" s="50" t="inlineStr">
        <is>
          <t>m³</t>
        </is>
      </c>
      <c r="E10" s="67" t="n">
        <v>0.35</v>
      </c>
      <c r="F10" s="68">
        <f>IF(C10="","",C10*E10*0.5836/1000)</f>
        <v/>
      </c>
      <c r="G10" s="67" t="n">
        <v>0.25</v>
      </c>
      <c r="H10" s="68">
        <f>IF(C10="","",C10*G10*0.5836/1000)</f>
        <v/>
      </c>
      <c r="I10" s="50" t="inlineStr">
        <is>
          <t>运行记录</t>
        </is>
      </c>
      <c r="J10" s="50" t="inlineStr"/>
    </row>
    <row r="11">
      <c r="A11" s="50" t="n">
        <v>7</v>
      </c>
      <c r="B11" s="50" t="inlineStr">
        <is>
          <t>中水回用</t>
        </is>
      </c>
      <c r="C11" s="66" t="inlineStr"/>
      <c r="D11" s="50" t="inlineStr">
        <is>
          <t>m³</t>
        </is>
      </c>
      <c r="E11" s="67" t="n">
        <v>0.45</v>
      </c>
      <c r="F11" s="68">
        <f>IF(C11="","",C11*E11*0.5836/1000)</f>
        <v/>
      </c>
      <c r="G11" s="67" t="n">
        <v>0.35</v>
      </c>
      <c r="H11" s="68">
        <f>IF(C11="","",C11*G11*0.5836/1000)</f>
        <v/>
      </c>
      <c r="I11" s="50" t="inlineStr">
        <is>
          <t>运行记录</t>
        </is>
      </c>
      <c r="J11" s="50" t="inlineStr">
        <is>
          <t>减碳项</t>
        </is>
      </c>
    </row>
    <row r="12">
      <c r="A12" s="50" t="n">
        <v>8</v>
      </c>
      <c r="B12" s="50" t="inlineStr">
        <is>
          <t>雨水收集利用</t>
        </is>
      </c>
      <c r="C12" s="66" t="inlineStr"/>
      <c r="D12" s="50" t="inlineStr">
        <is>
          <t>m³</t>
        </is>
      </c>
      <c r="E12" s="67" t="n">
        <v>0.3</v>
      </c>
      <c r="F12" s="68">
        <f>IF(C12="","",C12*E12*0.5836/1000)</f>
        <v/>
      </c>
      <c r="G12" s="67" t="n">
        <v>0.2</v>
      </c>
      <c r="H12" s="68">
        <f>IF(C12="","",C12*G12*0.5836/1000)</f>
        <v/>
      </c>
      <c r="I12" s="50" t="inlineStr">
        <is>
          <t>运行记录</t>
        </is>
      </c>
      <c r="J12" s="50" t="inlineStr">
        <is>
          <t>减碳项</t>
        </is>
      </c>
    </row>
    <row r="13">
      <c r="B13" s="62" t="inlineStr">
        <is>
          <t>水资源消耗碳排放合计</t>
        </is>
      </c>
      <c r="F13" s="62">
        <f>SUM(F5:F12)</f>
        <v/>
      </c>
      <c r="H13" s="62">
        <f>SUM(H5:H12)</f>
        <v/>
      </c>
    </row>
    <row r="15">
      <c r="A15" s="26" t="inlineStr">
        <is>
          <t>7.2 废弃物处理碳排放（生活垃圾、建筑垃圾、危险废物）</t>
        </is>
      </c>
    </row>
    <row r="16" ht="30" customHeight="1">
      <c r="A16" s="34" t="inlineStr">
        <is>
          <t>序号</t>
        </is>
      </c>
      <c r="B16" s="34" t="inlineStr">
        <is>
          <t>废弃物类型</t>
        </is>
      </c>
      <c r="C16" s="34" t="inlineStr">
        <is>
          <t>年产生量</t>
        </is>
      </c>
      <c r="D16" s="34" t="inlineStr">
        <is>
          <t>单位</t>
        </is>
      </c>
      <c r="E16" s="34" t="inlineStr">
        <is>
          <t>处理方式</t>
        </is>
      </c>
      <c r="F16" s="34" t="inlineStr">
        <is>
          <t>处理排放因子(kgCO₂/t)</t>
        </is>
      </c>
      <c r="G16" s="34" t="inlineStr">
        <is>
          <t>碳排放量(tCO₂)</t>
        </is>
      </c>
      <c r="H16" s="34" t="inlineStr">
        <is>
          <t>回收减碳量(tCO₂)</t>
        </is>
      </c>
      <c r="I16" s="34" t="inlineStr">
        <is>
          <t>数据来源</t>
        </is>
      </c>
      <c r="J16" s="34" t="inlineStr">
        <is>
          <t>备注</t>
        </is>
      </c>
    </row>
    <row r="17">
      <c r="A17" s="50" t="n">
        <v>1</v>
      </c>
      <c r="B17" s="50" t="inlineStr">
        <is>
          <t>生活垃圾</t>
        </is>
      </c>
      <c r="C17" s="66" t="inlineStr"/>
      <c r="D17" s="50" t="inlineStr">
        <is>
          <t>t</t>
        </is>
      </c>
      <c r="E17" s="50" t="inlineStr">
        <is>
          <t>填埋</t>
        </is>
      </c>
      <c r="F17" s="67" t="n">
        <v>350</v>
      </c>
      <c r="G17" s="68">
        <f>IF(C17="","",C17*F17/1000)</f>
        <v/>
      </c>
      <c r="H17" s="49" t="inlineStr"/>
      <c r="I17" s="50" t="inlineStr">
        <is>
          <t>物业记录</t>
        </is>
      </c>
      <c r="J17" s="50" t="inlineStr"/>
    </row>
    <row r="18">
      <c r="A18" s="50" t="n">
        <v>2</v>
      </c>
      <c r="B18" s="50" t="inlineStr">
        <is>
          <t>生活垃圾</t>
        </is>
      </c>
      <c r="C18" s="66" t="inlineStr"/>
      <c r="D18" s="50" t="inlineStr">
        <is>
          <t>t</t>
        </is>
      </c>
      <c r="E18" s="50" t="inlineStr">
        <is>
          <t>焚烧</t>
        </is>
      </c>
      <c r="F18" s="67" t="n">
        <v>-150</v>
      </c>
      <c r="G18" s="68">
        <f>IF(C18="","",C18*F18/1000)</f>
        <v/>
      </c>
      <c r="H18" s="49" t="inlineStr"/>
      <c r="I18" s="50" t="inlineStr">
        <is>
          <t>物业记录</t>
        </is>
      </c>
      <c r="J18" s="50" t="inlineStr">
        <is>
          <t>发电回收能量</t>
        </is>
      </c>
    </row>
    <row r="19">
      <c r="A19" s="50" t="n">
        <v>3</v>
      </c>
      <c r="B19" s="50" t="inlineStr">
        <is>
          <t>餐厨垃圾</t>
        </is>
      </c>
      <c r="C19" s="66" t="inlineStr"/>
      <c r="D19" s="50" t="inlineStr">
        <is>
          <t>t</t>
        </is>
      </c>
      <c r="E19" s="50" t="inlineStr">
        <is>
          <t>厌氧消化</t>
        </is>
      </c>
      <c r="F19" s="67" t="n">
        <v>-80</v>
      </c>
      <c r="G19" s="68">
        <f>IF(C19="","",C19*F19/1000)</f>
        <v/>
      </c>
      <c r="H19" s="49" t="inlineStr"/>
      <c r="I19" s="50" t="inlineStr">
        <is>
          <t>物业记录</t>
        </is>
      </c>
      <c r="J19" s="50" t="inlineStr">
        <is>
          <t>产生沼气</t>
        </is>
      </c>
    </row>
    <row r="20">
      <c r="A20" s="50" t="n">
        <v>4</v>
      </c>
      <c r="B20" s="50" t="inlineStr">
        <is>
          <t>可回收物（纸类）</t>
        </is>
      </c>
      <c r="C20" s="66" t="inlineStr"/>
      <c r="D20" s="50" t="inlineStr">
        <is>
          <t>t</t>
        </is>
      </c>
      <c r="E20" s="50" t="inlineStr">
        <is>
          <t>回收利用</t>
        </is>
      </c>
      <c r="F20" s="67" t="n">
        <v>-420</v>
      </c>
      <c r="G20" s="68">
        <f>IF(C20="","",C20*F20/1000)</f>
        <v/>
      </c>
      <c r="H20" s="49" t="inlineStr"/>
      <c r="I20" s="50" t="inlineStr">
        <is>
          <t>物业记录</t>
        </is>
      </c>
      <c r="J20" s="50" t="inlineStr">
        <is>
          <t>减碳项</t>
        </is>
      </c>
    </row>
    <row r="21">
      <c r="A21" s="50" t="n">
        <v>5</v>
      </c>
      <c r="B21" s="50" t="inlineStr">
        <is>
          <t>可回收物（塑料）</t>
        </is>
      </c>
      <c r="C21" s="66" t="inlineStr"/>
      <c r="D21" s="50" t="inlineStr">
        <is>
          <t>t</t>
        </is>
      </c>
      <c r="E21" s="50" t="inlineStr">
        <is>
          <t>回收利用</t>
        </is>
      </c>
      <c r="F21" s="67" t="n">
        <v>-1200</v>
      </c>
      <c r="G21" s="68">
        <f>IF(C21="","",C21*F21/1000)</f>
        <v/>
      </c>
      <c r="H21" s="49" t="inlineStr"/>
      <c r="I21" s="50" t="inlineStr">
        <is>
          <t>物业记录</t>
        </is>
      </c>
      <c r="J21" s="50" t="inlineStr">
        <is>
          <t>减碳项</t>
        </is>
      </c>
    </row>
    <row r="22">
      <c r="A22" s="50" t="n">
        <v>6</v>
      </c>
      <c r="B22" s="50" t="inlineStr">
        <is>
          <t>可回收物（金属）</t>
        </is>
      </c>
      <c r="C22" s="66" t="inlineStr"/>
      <c r="D22" s="50" t="inlineStr">
        <is>
          <t>t</t>
        </is>
      </c>
      <c r="E22" s="50" t="inlineStr">
        <is>
          <t>回收利用</t>
        </is>
      </c>
      <c r="F22" s="67" t="n">
        <v>-1500</v>
      </c>
      <c r="G22" s="68">
        <f>IF(C22="","",C22*F22/1000)</f>
        <v/>
      </c>
      <c r="H22" s="49" t="inlineStr"/>
      <c r="I22" s="50" t="inlineStr">
        <is>
          <t>物业记录</t>
        </is>
      </c>
      <c r="J22" s="50" t="inlineStr">
        <is>
          <t>减碳项</t>
        </is>
      </c>
    </row>
    <row r="23">
      <c r="A23" s="50" t="n">
        <v>7</v>
      </c>
      <c r="B23" s="50" t="inlineStr">
        <is>
          <t>可回收物（玻璃）</t>
        </is>
      </c>
      <c r="C23" s="66" t="inlineStr"/>
      <c r="D23" s="50" t="inlineStr">
        <is>
          <t>t</t>
        </is>
      </c>
      <c r="E23" s="50" t="inlineStr">
        <is>
          <t>回收利用</t>
        </is>
      </c>
      <c r="F23" s="67" t="n">
        <v>-250</v>
      </c>
      <c r="G23" s="68">
        <f>IF(C23="","",C23*F23/1000)</f>
        <v/>
      </c>
      <c r="H23" s="49" t="inlineStr"/>
      <c r="I23" s="50" t="inlineStr">
        <is>
          <t>物业记录</t>
        </is>
      </c>
      <c r="J23" s="50" t="inlineStr">
        <is>
          <t>减碳项</t>
        </is>
      </c>
    </row>
    <row r="24">
      <c r="A24" s="50" t="n">
        <v>8</v>
      </c>
      <c r="B24" s="50" t="inlineStr">
        <is>
          <t>建筑垃圾（运营期）</t>
        </is>
      </c>
      <c r="C24" s="66" t="inlineStr"/>
      <c r="D24" s="50" t="inlineStr">
        <is>
          <t>t</t>
        </is>
      </c>
      <c r="E24" s="50" t="inlineStr">
        <is>
          <t>填埋</t>
        </is>
      </c>
      <c r="F24" s="67" t="n">
        <v>15</v>
      </c>
      <c r="G24" s="68">
        <f>IF(C24="","",C24*F24/1000)</f>
        <v/>
      </c>
      <c r="H24" s="49" t="inlineStr"/>
      <c r="I24" s="50" t="inlineStr">
        <is>
          <t>物业记录</t>
        </is>
      </c>
      <c r="J24" s="50" t="inlineStr">
        <is>
          <t>装修垃圾</t>
        </is>
      </c>
    </row>
    <row r="25">
      <c r="A25" s="50" t="n">
        <v>9</v>
      </c>
      <c r="B25" s="50" t="inlineStr">
        <is>
          <t>建筑垃圾（拆除期）</t>
        </is>
      </c>
      <c r="C25" s="66" t="inlineStr"/>
      <c r="D25" s="50" t="inlineStr">
        <is>
          <t>t</t>
        </is>
      </c>
      <c r="E25" s="50" t="inlineStr">
        <is>
          <t>填埋/回收</t>
        </is>
      </c>
      <c r="F25" s="67" t="n">
        <v>20</v>
      </c>
      <c r="G25" s="68">
        <f>IF(C25="","",C25*F25/1000)</f>
        <v/>
      </c>
      <c r="H25" s="49" t="inlineStr"/>
      <c r="I25" s="50" t="inlineStr">
        <is>
          <t>拆除方案</t>
        </is>
      </c>
      <c r="J25" s="50" t="inlineStr"/>
    </row>
    <row r="26">
      <c r="A26" s="50" t="n">
        <v>10</v>
      </c>
      <c r="B26" s="50" t="inlineStr">
        <is>
          <t>危险废物</t>
        </is>
      </c>
      <c r="C26" s="66" t="inlineStr"/>
      <c r="D26" s="50" t="inlineStr">
        <is>
          <t>t</t>
        </is>
      </c>
      <c r="E26" s="50" t="inlineStr">
        <is>
          <t>专业处理</t>
        </is>
      </c>
      <c r="F26" s="67" t="n">
        <v>800</v>
      </c>
      <c r="G26" s="68">
        <f>IF(C26="","",C26*F26/1000)</f>
        <v/>
      </c>
      <c r="H26" s="49" t="inlineStr"/>
      <c r="I26" s="50" t="inlineStr">
        <is>
          <t>危废转移联单</t>
        </is>
      </c>
      <c r="J26" s="50" t="inlineStr">
        <is>
          <t>实验室/医疗</t>
        </is>
      </c>
    </row>
    <row r="27">
      <c r="B27" s="62" t="inlineStr">
        <is>
          <t>废弃物处理碳排放合计</t>
        </is>
      </c>
      <c r="G27" s="62">
        <f>SUM(G17:G26)</f>
        <v/>
      </c>
    </row>
  </sheetData>
  <mergeCells count="3">
    <mergeCell ref="A15:J15"/>
    <mergeCell ref="A1:J1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07D8B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0" customWidth="1" min="4" max="4"/>
    <col width="10" customWidth="1" min="5" max="5"/>
    <col width="25" customWidth="1" min="6" max="6"/>
    <col width="20" customWidth="1" min="7" max="7"/>
    <col width="15" customWidth="1" min="8" max="8"/>
    <col width="20" customWidth="1" min="9" max="9"/>
    <col width="20" customWidth="1" min="10" max="10"/>
  </cols>
  <sheetData>
    <row r="1">
      <c r="A1" s="33" t="inlineStr">
        <is>
          <t>建筑碳汇与隐含碳排放计算</t>
        </is>
      </c>
    </row>
    <row r="3">
      <c r="A3" s="26" t="inlineStr">
        <is>
          <t>8.1 建筑碳汇计算（绿地碳汇、立体绿化、屋顶绿化）</t>
        </is>
      </c>
    </row>
    <row r="4" ht="30" customHeight="1">
      <c r="A4" s="44" t="inlineStr">
        <is>
          <t>序号</t>
        </is>
      </c>
      <c r="B4" s="44" t="inlineStr">
        <is>
          <t>碳汇类型</t>
        </is>
      </c>
      <c r="C4" s="44" t="inlineStr">
        <is>
          <t>面积</t>
        </is>
      </c>
      <c r="D4" s="44" t="inlineStr">
        <is>
          <t>单位</t>
        </is>
      </c>
      <c r="E4" s="44" t="inlineStr">
        <is>
          <t>碳汇系数[kgCO₂/(m²·a)]</t>
        </is>
      </c>
      <c r="F4" s="44" t="inlineStr">
        <is>
          <t>年碳汇量(tCO₂)</t>
        </is>
      </c>
      <c r="G4" s="44" t="inlineStr">
        <is>
          <t>计算依据</t>
        </is>
      </c>
      <c r="H4" s="44" t="inlineStr">
        <is>
          <t>植物类型</t>
        </is>
      </c>
      <c r="I4" s="44" t="inlineStr">
        <is>
          <t>备注</t>
        </is>
      </c>
    </row>
    <row r="5">
      <c r="A5" s="50" t="n">
        <v>1</v>
      </c>
      <c r="B5" s="50" t="inlineStr">
        <is>
          <t>绿地碳汇（乔木）</t>
        </is>
      </c>
      <c r="C5" s="66" t="inlineStr"/>
      <c r="D5" s="50" t="inlineStr">
        <is>
          <t>m²</t>
        </is>
      </c>
      <c r="E5" s="67" t="n">
        <v>2.5</v>
      </c>
      <c r="F5" s="68">
        <f>IF(C5="","",C5*E5/1000)</f>
        <v/>
      </c>
      <c r="G5" s="50" t="inlineStr">
        <is>
          <t>《城市绿地碳汇计量监测技术规程》</t>
        </is>
      </c>
      <c r="H5" s="50" t="inlineStr">
        <is>
          <t>本地树种</t>
        </is>
      </c>
      <c r="I5" s="50" t="inlineStr"/>
    </row>
    <row r="6">
      <c r="A6" s="50" t="n">
        <v>2</v>
      </c>
      <c r="B6" s="50" t="inlineStr">
        <is>
          <t>绿地碳汇（灌木）</t>
        </is>
      </c>
      <c r="C6" s="66" t="inlineStr"/>
      <c r="D6" s="50" t="inlineStr">
        <is>
          <t>m²</t>
        </is>
      </c>
      <c r="E6" s="67" t="n">
        <v>1.2</v>
      </c>
      <c r="F6" s="68">
        <f>IF(C6="","",C6*E6/1000)</f>
        <v/>
      </c>
      <c r="G6" s="50" t="inlineStr">
        <is>
          <t>同上</t>
        </is>
      </c>
      <c r="H6" s="50" t="inlineStr"/>
      <c r="I6" s="50" t="inlineStr"/>
    </row>
    <row r="7">
      <c r="A7" s="50" t="n">
        <v>3</v>
      </c>
      <c r="B7" s="50" t="inlineStr">
        <is>
          <t>绿地碳汇（草坪）</t>
        </is>
      </c>
      <c r="C7" s="66" t="inlineStr"/>
      <c r="D7" s="50" t="inlineStr">
        <is>
          <t>m²</t>
        </is>
      </c>
      <c r="E7" s="67" t="n">
        <v>0.5</v>
      </c>
      <c r="F7" s="68">
        <f>IF(C7="","",C7*E7/1000)</f>
        <v/>
      </c>
      <c r="G7" s="50" t="inlineStr">
        <is>
          <t>同上</t>
        </is>
      </c>
      <c r="H7" s="50" t="inlineStr"/>
      <c r="I7" s="50" t="inlineStr"/>
    </row>
    <row r="8">
      <c r="A8" s="50" t="n">
        <v>4</v>
      </c>
      <c r="B8" s="50" t="inlineStr">
        <is>
          <t>屋顶绿化</t>
        </is>
      </c>
      <c r="C8" s="66" t="inlineStr"/>
      <c r="D8" s="50" t="inlineStr">
        <is>
          <t>m²</t>
        </is>
      </c>
      <c r="E8" s="67" t="n">
        <v>1.8</v>
      </c>
      <c r="F8" s="68">
        <f>IF(C8="","",C8*E8/1000)</f>
        <v/>
      </c>
      <c r="G8" s="50" t="inlineStr">
        <is>
          <t>《绿色建筑评价标准》</t>
        </is>
      </c>
      <c r="H8" s="50" t="inlineStr">
        <is>
          <t>轻型/重型</t>
        </is>
      </c>
      <c r="I8" s="50" t="inlineStr"/>
    </row>
    <row r="9">
      <c r="A9" s="50" t="n">
        <v>5</v>
      </c>
      <c r="B9" s="50" t="inlineStr">
        <is>
          <t>垂直绿化</t>
        </is>
      </c>
      <c r="C9" s="66" t="inlineStr"/>
      <c r="D9" s="50" t="inlineStr">
        <is>
          <t>m²</t>
        </is>
      </c>
      <c r="E9" s="67" t="n">
        <v>1.5</v>
      </c>
      <c r="F9" s="68">
        <f>IF(C9="","",C9*E9/1000)</f>
        <v/>
      </c>
      <c r="G9" s="50" t="inlineStr">
        <is>
          <t>同上</t>
        </is>
      </c>
      <c r="H9" s="50" t="inlineStr">
        <is>
          <t>攀援植物</t>
        </is>
      </c>
      <c r="I9" s="50" t="inlineStr"/>
    </row>
    <row r="10">
      <c r="A10" s="50" t="n">
        <v>6</v>
      </c>
      <c r="B10" s="50" t="inlineStr">
        <is>
          <t>室内绿化</t>
        </is>
      </c>
      <c r="C10" s="66" t="inlineStr"/>
      <c r="D10" s="50" t="inlineStr">
        <is>
          <t>m²</t>
        </is>
      </c>
      <c r="E10" s="67" t="n">
        <v>0.8</v>
      </c>
      <c r="F10" s="68">
        <f>IF(C10="","",C10*E10/1000)</f>
        <v/>
      </c>
      <c r="G10" s="50" t="inlineStr">
        <is>
          <t>估算</t>
        </is>
      </c>
      <c r="H10" s="50" t="inlineStr">
        <is>
          <t>盆栽植物</t>
        </is>
      </c>
      <c r="I10" s="50" t="inlineStr"/>
    </row>
    <row r="11">
      <c r="A11" s="50" t="n">
        <v>7</v>
      </c>
      <c r="B11" s="50" t="inlineStr">
        <is>
          <t>雨水花园</t>
        </is>
      </c>
      <c r="C11" s="66" t="inlineStr"/>
      <c r="D11" s="50" t="inlineStr">
        <is>
          <t>m²</t>
        </is>
      </c>
      <c r="E11" s="67" t="n">
        <v>2</v>
      </c>
      <c r="F11" s="68">
        <f>IF(C11="","",C11*E11/1000)</f>
        <v/>
      </c>
      <c r="G11" s="50" t="inlineStr">
        <is>
          <t>估算</t>
        </is>
      </c>
      <c r="H11" s="50" t="inlineStr">
        <is>
          <t>湿地植物</t>
        </is>
      </c>
      <c r="I11" s="50" t="inlineStr"/>
    </row>
    <row r="12">
      <c r="B12" s="62" t="inlineStr">
        <is>
          <t>建筑年碳汇总计</t>
        </is>
      </c>
      <c r="F12" s="62">
        <f>SUM(F5:F11)</f>
        <v/>
      </c>
    </row>
    <row r="14">
      <c r="A14" s="26" t="inlineStr">
        <is>
          <t>8.2 隐含碳排放计算（家具、设备、IT资产等）</t>
        </is>
      </c>
    </row>
    <row r="15" ht="30" customHeight="1">
      <c r="A15" s="60" t="inlineStr">
        <is>
          <t>序号</t>
        </is>
      </c>
      <c r="B15" s="60" t="inlineStr">
        <is>
          <t>资产类别</t>
        </is>
      </c>
      <c r="C15" s="60" t="inlineStr">
        <is>
          <t>资产名称</t>
        </is>
      </c>
      <c r="D15" s="60" t="inlineStr">
        <is>
          <t>数量</t>
        </is>
      </c>
      <c r="E15" s="60" t="inlineStr">
        <is>
          <t>单位</t>
        </is>
      </c>
      <c r="F15" s="60" t="inlineStr">
        <is>
          <t>碳排放因子(kgCO₂e/单位)</t>
        </is>
      </c>
      <c r="G15" s="60" t="inlineStr">
        <is>
          <t>碳排放量(tCO₂e)</t>
        </is>
      </c>
      <c r="H15" s="60" t="inlineStr">
        <is>
          <t>使用寿命(年)</t>
        </is>
      </c>
      <c r="I15" s="60" t="inlineStr">
        <is>
          <t>年碳排放量(tCO₂e)</t>
        </is>
      </c>
      <c r="J15" s="60" t="inlineStr">
        <is>
          <t>备注</t>
        </is>
      </c>
    </row>
    <row r="16">
      <c r="A16" s="50" t="n">
        <v>1</v>
      </c>
      <c r="B16" s="50" t="inlineStr">
        <is>
          <t>办公家具</t>
        </is>
      </c>
      <c r="C16" s="50" t="inlineStr">
        <is>
          <t>办公桌</t>
        </is>
      </c>
      <c r="D16" s="66" t="inlineStr"/>
      <c r="E16" s="50" t="inlineStr">
        <is>
          <t>套</t>
        </is>
      </c>
      <c r="F16" s="67" t="n">
        <v>85</v>
      </c>
      <c r="G16" s="68">
        <f>IF(D16="","",D16*F16/1000)</f>
        <v/>
      </c>
      <c r="H16" s="50" t="n">
        <v>10</v>
      </c>
      <c r="I16" s="68">
        <f>IF(H16="","",G16/H16)</f>
        <v/>
      </c>
      <c r="J16" s="50" t="inlineStr"/>
    </row>
    <row r="17">
      <c r="A17" s="50" t="n">
        <v>2</v>
      </c>
      <c r="B17" s="50" t="inlineStr">
        <is>
          <t>办公家具</t>
        </is>
      </c>
      <c r="C17" s="50" t="inlineStr">
        <is>
          <t>办公椅</t>
        </is>
      </c>
      <c r="D17" s="66" t="inlineStr"/>
      <c r="E17" s="50" t="inlineStr">
        <is>
          <t>把</t>
        </is>
      </c>
      <c r="F17" s="67" t="n">
        <v>35</v>
      </c>
      <c r="G17" s="68">
        <f>IF(D17="","",D17*F17/1000)</f>
        <v/>
      </c>
      <c r="H17" s="50" t="n">
        <v>8</v>
      </c>
      <c r="I17" s="68">
        <f>IF(H17="","",G17/H17)</f>
        <v/>
      </c>
      <c r="J17" s="50" t="inlineStr"/>
    </row>
    <row r="18">
      <c r="A18" s="50" t="n">
        <v>3</v>
      </c>
      <c r="B18" s="50" t="inlineStr">
        <is>
          <t>办公设备</t>
        </is>
      </c>
      <c r="C18" s="50" t="inlineStr">
        <is>
          <t>台式电脑</t>
        </is>
      </c>
      <c r="D18" s="66" t="inlineStr"/>
      <c r="E18" s="50" t="inlineStr">
        <is>
          <t>台</t>
        </is>
      </c>
      <c r="F18" s="67" t="n">
        <v>250</v>
      </c>
      <c r="G18" s="68">
        <f>IF(D18="","",D18*F18/1000)</f>
        <v/>
      </c>
      <c r="H18" s="50" t="n">
        <v>5</v>
      </c>
      <c r="I18" s="68">
        <f>IF(H18="","",G18/H18)</f>
        <v/>
      </c>
      <c r="J18" s="50" t="inlineStr">
        <is>
          <t>含显示器</t>
        </is>
      </c>
    </row>
    <row r="19">
      <c r="A19" s="50" t="n">
        <v>4</v>
      </c>
      <c r="B19" s="50" t="inlineStr">
        <is>
          <t>办公设备</t>
        </is>
      </c>
      <c r="C19" s="50" t="inlineStr">
        <is>
          <t>笔记本电脑</t>
        </is>
      </c>
      <c r="D19" s="66" t="inlineStr"/>
      <c r="E19" s="50" t="inlineStr">
        <is>
          <t>台</t>
        </is>
      </c>
      <c r="F19" s="67" t="n">
        <v>180</v>
      </c>
      <c r="G19" s="68">
        <f>IF(D19="","",D19*F19/1000)</f>
        <v/>
      </c>
      <c r="H19" s="50" t="n">
        <v>4</v>
      </c>
      <c r="I19" s="68">
        <f>IF(H19="","",G19/H19)</f>
        <v/>
      </c>
      <c r="J19" s="50" t="inlineStr"/>
    </row>
    <row r="20">
      <c r="A20" s="50" t="n">
        <v>5</v>
      </c>
      <c r="B20" s="50" t="inlineStr">
        <is>
          <t>办公设备</t>
        </is>
      </c>
      <c r="C20" s="50" t="inlineStr">
        <is>
          <t>打印机/复印机</t>
        </is>
      </c>
      <c r="D20" s="66" t="inlineStr"/>
      <c r="E20" s="50" t="inlineStr">
        <is>
          <t>台</t>
        </is>
      </c>
      <c r="F20" s="67" t="n">
        <v>350</v>
      </c>
      <c r="G20" s="68">
        <f>IF(D20="","",D20*F20/1000)</f>
        <v/>
      </c>
      <c r="H20" s="50" t="n">
        <v>7</v>
      </c>
      <c r="I20" s="68">
        <f>IF(H20="","",G20/H20)</f>
        <v/>
      </c>
      <c r="J20" s="50" t="inlineStr"/>
    </row>
    <row r="21">
      <c r="A21" s="50" t="n">
        <v>6</v>
      </c>
      <c r="B21" s="50" t="inlineStr">
        <is>
          <t>办公设备</t>
        </is>
      </c>
      <c r="C21" s="50" t="inlineStr">
        <is>
          <t>服务器</t>
        </is>
      </c>
      <c r="D21" s="66" t="inlineStr"/>
      <c r="E21" s="50" t="inlineStr">
        <is>
          <t>台</t>
        </is>
      </c>
      <c r="F21" s="67" t="n">
        <v>800</v>
      </c>
      <c r="G21" s="68">
        <f>IF(D21="","",D21*F21/1000)</f>
        <v/>
      </c>
      <c r="H21" s="50" t="n">
        <v>5</v>
      </c>
      <c r="I21" s="68">
        <f>IF(H21="","",G21/H21)</f>
        <v/>
      </c>
      <c r="J21" s="50" t="inlineStr">
        <is>
          <t>数据中心</t>
        </is>
      </c>
    </row>
    <row r="22">
      <c r="A22" s="50" t="n">
        <v>7</v>
      </c>
      <c r="B22" s="50" t="inlineStr">
        <is>
          <t>办公设备</t>
        </is>
      </c>
      <c r="C22" s="50" t="inlineStr">
        <is>
          <t>空调（分体）</t>
        </is>
      </c>
      <c r="D22" s="66" t="inlineStr"/>
      <c r="E22" s="50" t="inlineStr">
        <is>
          <t>台</t>
        </is>
      </c>
      <c r="F22" s="67" t="n">
        <v>450</v>
      </c>
      <c r="G22" s="68">
        <f>IF(D22="","",D22*F22/1000)</f>
        <v/>
      </c>
      <c r="H22" s="50" t="n">
        <v>10</v>
      </c>
      <c r="I22" s="68">
        <f>IF(H22="","",G22/H22)</f>
        <v/>
      </c>
      <c r="J22" s="50" t="inlineStr"/>
    </row>
    <row r="23">
      <c r="A23" s="50" t="n">
        <v>8</v>
      </c>
      <c r="B23" s="50" t="inlineStr">
        <is>
          <t>办公设备</t>
        </is>
      </c>
      <c r="C23" s="50" t="inlineStr">
        <is>
          <t>空调（中央）</t>
        </is>
      </c>
      <c r="D23" s="66" t="inlineStr"/>
      <c r="E23" s="50" t="inlineStr">
        <is>
          <t>台</t>
        </is>
      </c>
      <c r="F23" s="67" t="n">
        <v>2500</v>
      </c>
      <c r="G23" s="68">
        <f>IF(D23="","",D23*F23/1000)</f>
        <v/>
      </c>
      <c r="H23" s="50" t="n">
        <v>15</v>
      </c>
      <c r="I23" s="68">
        <f>IF(H23="","",G23/H23)</f>
        <v/>
      </c>
      <c r="J23" s="50" t="inlineStr"/>
    </row>
    <row r="24">
      <c r="A24" s="50" t="n">
        <v>9</v>
      </c>
      <c r="B24" s="50" t="inlineStr">
        <is>
          <t>办公设备</t>
        </is>
      </c>
      <c r="C24" s="50" t="inlineStr">
        <is>
          <t>电梯</t>
        </is>
      </c>
      <c r="D24" s="66" t="inlineStr"/>
      <c r="E24" s="50" t="inlineStr">
        <is>
          <t>台</t>
        </is>
      </c>
      <c r="F24" s="67" t="n">
        <v>15000</v>
      </c>
      <c r="G24" s="68">
        <f>IF(D24="","",D24*F24/1000)</f>
        <v/>
      </c>
      <c r="H24" s="50" t="n">
        <v>20</v>
      </c>
      <c r="I24" s="68">
        <f>IF(H24="","",G24/H24)</f>
        <v/>
      </c>
      <c r="J24" s="50" t="inlineStr"/>
    </row>
    <row r="25">
      <c r="A25" s="50" t="n">
        <v>10</v>
      </c>
      <c r="B25" s="50" t="inlineStr">
        <is>
          <t>其他资产</t>
        </is>
      </c>
      <c r="C25" s="50" t="inlineStr">
        <is>
          <t>厨房设备</t>
        </is>
      </c>
      <c r="D25" s="66" t="inlineStr"/>
      <c r="E25" s="50" t="inlineStr">
        <is>
          <t>套</t>
        </is>
      </c>
      <c r="F25" s="67" t="n">
        <v>5000</v>
      </c>
      <c r="G25" s="68">
        <f>IF(D25="","",D25*F25/1000)</f>
        <v/>
      </c>
      <c r="H25" s="50" t="n">
        <v>10</v>
      </c>
      <c r="I25" s="68">
        <f>IF(H25="","",G25/H25)</f>
        <v/>
      </c>
      <c r="J25" s="50" t="inlineStr">
        <is>
          <t>如有食堂</t>
        </is>
      </c>
    </row>
    <row r="26">
      <c r="A26" s="50" t="n">
        <v>11</v>
      </c>
      <c r="B26" s="50" t="inlineStr">
        <is>
          <t>其他资产</t>
        </is>
      </c>
      <c r="C26" s="50" t="inlineStr">
        <is>
          <t>安防设备</t>
        </is>
      </c>
      <c r="D26" s="66" t="inlineStr"/>
      <c r="E26" s="50" t="inlineStr">
        <is>
          <t>套</t>
        </is>
      </c>
      <c r="F26" s="67" t="n">
        <v>3000</v>
      </c>
      <c r="G26" s="68">
        <f>IF(D26="","",D26*F26/1000)</f>
        <v/>
      </c>
      <c r="H26" s="50" t="n">
        <v>10</v>
      </c>
      <c r="I26" s="68">
        <f>IF(H26="","",G26/H26)</f>
        <v/>
      </c>
      <c r="J26" s="50" t="inlineStr"/>
    </row>
    <row r="27">
      <c r="C27" s="62" t="inlineStr">
        <is>
          <t>隐含碳排放合计</t>
        </is>
      </c>
      <c r="G27" s="62">
        <f>SUM(G16:G26)</f>
        <v/>
      </c>
    </row>
  </sheetData>
  <mergeCells count="3">
    <mergeCell ref="A1:J1"/>
    <mergeCell ref="A14:J14"/>
    <mergeCell ref="A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91E63"/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20" customWidth="1" min="11" max="11"/>
  </cols>
  <sheetData>
    <row r="1">
      <c r="A1" s="25" t="inlineStr">
        <is>
          <t>多情景碳排放对比分析（基准/节能/碳中和）</t>
        </is>
      </c>
    </row>
    <row r="3">
      <c r="A3" s="26" t="inlineStr">
        <is>
          <t>9.1 情景参数设置</t>
        </is>
      </c>
    </row>
    <row r="4" ht="30" customHeight="1">
      <c r="A4" s="71" t="inlineStr">
        <is>
          <t>参数类别</t>
        </is>
      </c>
      <c r="B4" s="71" t="inlineStr">
        <is>
          <t>参数名称</t>
        </is>
      </c>
      <c r="C4" s="71" t="inlineStr">
        <is>
          <t>单位</t>
        </is>
      </c>
      <c r="D4" s="71" t="inlineStr">
        <is>
          <t>基准情景</t>
        </is>
      </c>
      <c r="E4" s="71" t="inlineStr">
        <is>
          <t>节能情景</t>
        </is>
      </c>
      <c r="F4" s="71" t="inlineStr">
        <is>
          <t>强化节能</t>
        </is>
      </c>
      <c r="G4" s="71" t="inlineStr">
        <is>
          <t>碳中和情景</t>
        </is>
      </c>
      <c r="H4" s="71" t="inlineStr">
        <is>
          <t>计算依据</t>
        </is>
      </c>
      <c r="I4" s="71" t="inlineStr">
        <is>
          <t>备注</t>
        </is>
      </c>
    </row>
    <row r="5">
      <c r="A5" s="72" t="inlineStr">
        <is>
          <t>能源效率</t>
        </is>
      </c>
      <c r="B5" s="72" t="inlineStr">
        <is>
          <t>建筑综合节能率</t>
        </is>
      </c>
      <c r="C5" s="29" t="inlineStr">
        <is>
          <t>%</t>
        </is>
      </c>
      <c r="D5" s="30" t="n">
        <v>50</v>
      </c>
      <c r="E5" s="30" t="n">
        <v>65</v>
      </c>
      <c r="F5" s="30" t="n">
        <v>75</v>
      </c>
      <c r="G5" s="30" t="n">
        <v>85</v>
      </c>
      <c r="H5" s="32" t="inlineStr">
        <is>
          <t>GB 50189</t>
        </is>
      </c>
      <c r="I5" s="32" t="inlineStr">
        <is>
          <t>相对于基准</t>
        </is>
      </c>
    </row>
    <row r="6">
      <c r="A6" s="72" t="inlineStr">
        <is>
          <t>能源效率</t>
        </is>
      </c>
      <c r="B6" s="72" t="inlineStr">
        <is>
          <t>暖通空调COP</t>
        </is>
      </c>
      <c r="C6" s="29" t="inlineStr">
        <is>
          <t>-</t>
        </is>
      </c>
      <c r="D6" s="30" t="n">
        <v>3.5</v>
      </c>
      <c r="E6" s="30" t="n">
        <v>4.5</v>
      </c>
      <c r="F6" s="30" t="n">
        <v>5.5</v>
      </c>
      <c r="G6" s="30" t="n">
        <v>7</v>
      </c>
      <c r="H6" s="32" t="inlineStr">
        <is>
          <t>设备标准</t>
        </is>
      </c>
      <c r="I6" s="32" t="inlineStr">
        <is>
          <t>冷水机组</t>
        </is>
      </c>
    </row>
    <row r="7">
      <c r="A7" s="72" t="inlineStr">
        <is>
          <t>能源效率</t>
        </is>
      </c>
      <c r="B7" s="72" t="inlineStr">
        <is>
          <t>照明功率密度</t>
        </is>
      </c>
      <c r="C7" s="29" t="inlineStr">
        <is>
          <t>W/m²</t>
        </is>
      </c>
      <c r="D7" s="30" t="n">
        <v>9</v>
      </c>
      <c r="E7" s="30" t="n">
        <v>7</v>
      </c>
      <c r="F7" s="30" t="n">
        <v>5</v>
      </c>
      <c r="G7" s="30" t="n">
        <v>3.5</v>
      </c>
      <c r="H7" s="32" t="inlineStr">
        <is>
          <t>GB 50034</t>
        </is>
      </c>
      <c r="I7" s="32" t="inlineStr">
        <is>
          <t>办公建筑</t>
        </is>
      </c>
    </row>
    <row r="8">
      <c r="A8" s="72" t="inlineStr">
        <is>
          <t>可再生能源</t>
        </is>
      </c>
      <c r="B8" s="72" t="inlineStr">
        <is>
          <t>光伏覆盖率</t>
        </is>
      </c>
      <c r="C8" s="29" t="inlineStr">
        <is>
          <t>%</t>
        </is>
      </c>
      <c r="D8" s="30" t="n">
        <v>5</v>
      </c>
      <c r="E8" s="30" t="n">
        <v>15</v>
      </c>
      <c r="F8" s="30" t="n">
        <v>30</v>
      </c>
      <c r="G8" s="30" t="n">
        <v>60</v>
      </c>
      <c r="H8" s="32" t="inlineStr">
        <is>
          <t>屋面面积</t>
        </is>
      </c>
      <c r="I8" s="32" t="inlineStr">
        <is>
          <t>BIPV</t>
        </is>
      </c>
    </row>
    <row r="9">
      <c r="A9" s="72" t="inlineStr">
        <is>
          <t>可再生能源</t>
        </is>
      </c>
      <c r="B9" s="72" t="inlineStr">
        <is>
          <t>绿电采购比例</t>
        </is>
      </c>
      <c r="C9" s="29" t="inlineStr">
        <is>
          <t>%</t>
        </is>
      </c>
      <c r="D9" s="30" t="n">
        <v>0</v>
      </c>
      <c r="E9" s="30" t="n">
        <v>20</v>
      </c>
      <c r="F9" s="30" t="n">
        <v>50</v>
      </c>
      <c r="G9" s="30" t="n">
        <v>100</v>
      </c>
      <c r="H9" s="32" t="inlineStr">
        <is>
          <t>市场化交易</t>
        </is>
      </c>
      <c r="I9" s="32" t="inlineStr">
        <is>
          <t>零碳电力</t>
        </is>
      </c>
    </row>
    <row r="10">
      <c r="A10" s="72" t="inlineStr">
        <is>
          <t>运行管理</t>
        </is>
      </c>
      <c r="B10" s="72" t="inlineStr">
        <is>
          <t>智能控制覆盖率</t>
        </is>
      </c>
      <c r="C10" s="29" t="inlineStr">
        <is>
          <t>%</t>
        </is>
      </c>
      <c r="D10" s="30" t="n">
        <v>20</v>
      </c>
      <c r="E10" s="30" t="n">
        <v>60</v>
      </c>
      <c r="F10" s="30" t="n">
        <v>85</v>
      </c>
      <c r="G10" s="30" t="n">
        <v>100</v>
      </c>
      <c r="H10" s="32" t="inlineStr">
        <is>
          <t>智能化标准</t>
        </is>
      </c>
      <c r="I10" s="32" t="inlineStr">
        <is>
          <t>BA系统</t>
        </is>
      </c>
    </row>
    <row r="11">
      <c r="A11" s="72" t="inlineStr">
        <is>
          <t>建材</t>
        </is>
      </c>
      <c r="B11" s="72" t="inlineStr">
        <is>
          <t>绿色建材比例</t>
        </is>
      </c>
      <c r="C11" s="29" t="inlineStr">
        <is>
          <t>%</t>
        </is>
      </c>
      <c r="D11" s="30" t="n">
        <v>20</v>
      </c>
      <c r="E11" s="30" t="n">
        <v>50</v>
      </c>
      <c r="F11" s="30" t="n">
        <v>70</v>
      </c>
      <c r="G11" s="30" t="n">
        <v>90</v>
      </c>
      <c r="H11" s="32" t="inlineStr">
        <is>
          <t>绿色认证</t>
        </is>
      </c>
      <c r="I11" s="32" t="inlineStr"/>
    </row>
    <row r="12">
      <c r="A12" s="72" t="inlineStr">
        <is>
          <t>建材</t>
        </is>
      </c>
      <c r="B12" s="72" t="inlineStr">
        <is>
          <t>再生材料替代率</t>
        </is>
      </c>
      <c r="C12" s="29" t="inlineStr">
        <is>
          <t>%</t>
        </is>
      </c>
      <c r="D12" s="30" t="n">
        <v>5</v>
      </c>
      <c r="E12" s="30" t="n">
        <v>15</v>
      </c>
      <c r="F12" s="30" t="n">
        <v>30</v>
      </c>
      <c r="G12" s="30" t="n">
        <v>50</v>
      </c>
      <c r="H12" s="32" t="inlineStr">
        <is>
          <t>资源利用</t>
        </is>
      </c>
      <c r="I12" s="32" t="inlineStr"/>
    </row>
    <row r="15">
      <c r="A15" s="26" t="inlineStr">
        <is>
          <t>9.2 各情景碳排放计算结果对比</t>
        </is>
      </c>
    </row>
    <row r="16" ht="30" customHeight="1">
      <c r="A16" s="73" t="inlineStr">
        <is>
          <t>排放类别</t>
        </is>
      </c>
      <c r="B16" s="73" t="inlineStr">
        <is>
          <t>基准情景(tCO₂e/a)</t>
        </is>
      </c>
      <c r="C16" s="73" t="inlineStr">
        <is>
          <t>节能情景</t>
        </is>
      </c>
      <c r="D16" s="73" t="inlineStr">
        <is>
          <t>强化节能</t>
        </is>
      </c>
      <c r="E16" s="73" t="inlineStr">
        <is>
          <t>碳中和情景</t>
        </is>
      </c>
      <c r="F16" s="73" t="inlineStr">
        <is>
          <t>节能减排量</t>
        </is>
      </c>
      <c r="G16" s="73" t="inlineStr">
        <is>
          <t>节能减排率</t>
        </is>
      </c>
      <c r="H16" s="73" t="inlineStr">
        <is>
          <t>碳中和减排量</t>
        </is>
      </c>
      <c r="I16" s="73" t="inlineStr">
        <is>
          <t>碳中和减排率</t>
        </is>
      </c>
      <c r="J16" s="73" t="inlineStr">
        <is>
          <t>数据来源</t>
        </is>
      </c>
      <c r="K16" s="73" t="inlineStr">
        <is>
          <t>备注</t>
        </is>
      </c>
    </row>
    <row r="17">
      <c r="A17" s="72" t="inlineStr">
        <is>
          <t>运行阶段-电力</t>
        </is>
      </c>
      <c r="B17" s="74" t="inlineStr"/>
      <c r="C17" s="74" t="inlineStr"/>
      <c r="D17" s="74" t="inlineStr"/>
      <c r="E17" s="74" t="inlineStr"/>
      <c r="F17" s="29" t="inlineStr"/>
      <c r="G17" s="75" t="inlineStr"/>
      <c r="H17" s="29" t="inlineStr"/>
      <c r="I17" s="75" t="inlineStr"/>
      <c r="J17" s="32" t="inlineStr">
        <is>
          <t>自动计算</t>
        </is>
      </c>
    </row>
    <row r="18">
      <c r="A18" s="72" t="inlineStr">
        <is>
          <t>运行阶段-化石燃料</t>
        </is>
      </c>
      <c r="B18" s="74" t="inlineStr"/>
      <c r="C18" s="74" t="inlineStr"/>
      <c r="D18" s="74" t="inlineStr"/>
      <c r="E18" s="74" t="inlineStr"/>
      <c r="F18" s="29" t="inlineStr"/>
      <c r="G18" s="75" t="inlineStr"/>
      <c r="H18" s="29" t="inlineStr"/>
      <c r="I18" s="75" t="inlineStr"/>
      <c r="J18" s="32" t="inlineStr">
        <is>
          <t>自动计算</t>
        </is>
      </c>
    </row>
    <row r="19">
      <c r="A19" s="72" t="inlineStr">
        <is>
          <t>建材生产及运输(年化)</t>
        </is>
      </c>
      <c r="B19" s="74" t="inlineStr"/>
      <c r="C19" s="74" t="inlineStr"/>
      <c r="D19" s="74" t="inlineStr"/>
      <c r="E19" s="74" t="inlineStr"/>
      <c r="F19" s="29" t="inlineStr"/>
      <c r="G19" s="75" t="inlineStr"/>
      <c r="H19" s="29" t="inlineStr"/>
      <c r="I19" s="75" t="inlineStr"/>
      <c r="J19" s="32" t="inlineStr">
        <is>
          <t>自动计算</t>
        </is>
      </c>
    </row>
    <row r="20">
      <c r="A20" s="72" t="inlineStr">
        <is>
          <t>建造及拆除(年化)</t>
        </is>
      </c>
      <c r="B20" s="74" t="inlineStr"/>
      <c r="C20" s="74" t="inlineStr"/>
      <c r="D20" s="74" t="inlineStr"/>
      <c r="E20" s="74" t="inlineStr"/>
      <c r="F20" s="29" t="inlineStr"/>
      <c r="G20" s="75" t="inlineStr"/>
      <c r="H20" s="29" t="inlineStr"/>
      <c r="I20" s="75" t="inlineStr"/>
      <c r="J20" s="32" t="inlineStr">
        <is>
          <t>自动计算</t>
        </is>
      </c>
    </row>
    <row r="21">
      <c r="A21" s="72" t="inlineStr">
        <is>
          <t>水资源消耗</t>
        </is>
      </c>
      <c r="B21" s="74" t="inlineStr"/>
      <c r="C21" s="74" t="inlineStr"/>
      <c r="D21" s="74" t="inlineStr"/>
      <c r="E21" s="74" t="inlineStr"/>
      <c r="F21" s="29" t="inlineStr"/>
      <c r="G21" s="75" t="inlineStr"/>
      <c r="H21" s="29" t="inlineStr"/>
      <c r="I21" s="75" t="inlineStr"/>
      <c r="J21" s="32" t="inlineStr">
        <is>
          <t>自动计算</t>
        </is>
      </c>
    </row>
    <row r="22">
      <c r="A22" s="72" t="inlineStr">
        <is>
          <t>废弃物处理</t>
        </is>
      </c>
      <c r="B22" s="74" t="inlineStr"/>
      <c r="C22" s="74" t="inlineStr"/>
      <c r="D22" s="74" t="inlineStr"/>
      <c r="E22" s="74" t="inlineStr"/>
      <c r="F22" s="29" t="inlineStr"/>
      <c r="G22" s="75" t="inlineStr"/>
      <c r="H22" s="29" t="inlineStr"/>
      <c r="I22" s="75" t="inlineStr"/>
      <c r="J22" s="32" t="inlineStr">
        <is>
          <t>自动计算</t>
        </is>
      </c>
    </row>
    <row r="23">
      <c r="A23" s="72" t="inlineStr">
        <is>
          <t>减：建筑碳汇</t>
        </is>
      </c>
      <c r="B23" s="74" t="inlineStr"/>
      <c r="C23" s="74" t="inlineStr"/>
      <c r="D23" s="74" t="inlineStr"/>
      <c r="E23" s="74" t="inlineStr"/>
      <c r="F23" s="29" t="inlineStr"/>
      <c r="G23" s="75" t="inlineStr"/>
      <c r="H23" s="29" t="inlineStr"/>
      <c r="I23" s="75" t="inlineStr"/>
      <c r="J23" s="32" t="inlineStr">
        <is>
          <t>负值</t>
        </is>
      </c>
    </row>
    <row r="24">
      <c r="A24" s="72" t="inlineStr">
        <is>
          <t>减：可再生能源减碳</t>
        </is>
      </c>
      <c r="B24" s="74" t="inlineStr"/>
      <c r="C24" s="74" t="inlineStr"/>
      <c r="D24" s="74" t="inlineStr"/>
      <c r="E24" s="74" t="inlineStr"/>
      <c r="F24" s="29" t="inlineStr"/>
      <c r="G24" s="75" t="inlineStr"/>
      <c r="H24" s="29" t="inlineStr"/>
      <c r="I24" s="75" t="inlineStr"/>
      <c r="J24" s="32" t="inlineStr">
        <is>
          <t>负值</t>
        </is>
      </c>
    </row>
    <row r="25">
      <c r="A25" s="72" t="inlineStr">
        <is>
          <t>碳排放总计</t>
        </is>
      </c>
      <c r="B25" s="74" t="inlineStr"/>
      <c r="C25" s="74" t="inlineStr"/>
      <c r="D25" s="74" t="inlineStr"/>
      <c r="E25" s="74" t="inlineStr"/>
      <c r="F25" s="29" t="inlineStr"/>
      <c r="G25" s="75" t="inlineStr"/>
      <c r="H25" s="29" t="inlineStr"/>
      <c r="I25" s="75" t="inlineStr"/>
      <c r="J25" s="32" t="inlineStr">
        <is>
          <t>自动计算</t>
        </is>
      </c>
    </row>
  </sheetData>
  <mergeCells count="3">
    <mergeCell ref="A15:M15"/>
    <mergeCell ref="A3:M3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F51B5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s="25" t="inlineStr">
        <is>
          <t>碳排放敏感性分析 - 关键参数影响评估</t>
        </is>
      </c>
    </row>
    <row r="3">
      <c r="A3" s="26" t="inlineStr">
        <is>
          <t>10.1 单因素敏感性分析（变化±10%, ±20%, ±30%）</t>
        </is>
      </c>
    </row>
    <row r="4" ht="30" customHeight="1">
      <c r="A4" s="73" t="inlineStr">
        <is>
          <t>敏感因素</t>
        </is>
      </c>
      <c r="B4" s="73" t="inlineStr">
        <is>
          <t>基准值</t>
        </is>
      </c>
      <c r="C4" s="73" t="inlineStr">
        <is>
          <t>单位</t>
        </is>
      </c>
      <c r="D4" s="73" t="inlineStr">
        <is>
          <t>-30%</t>
        </is>
      </c>
      <c r="E4" s="73" t="inlineStr">
        <is>
          <t>-20%</t>
        </is>
      </c>
      <c r="F4" s="73" t="inlineStr">
        <is>
          <t>-10%</t>
        </is>
      </c>
      <c r="G4" s="73" t="inlineStr">
        <is>
          <t>基准</t>
        </is>
      </c>
      <c r="H4" s="73" t="inlineStr">
        <is>
          <t>+10%</t>
        </is>
      </c>
      <c r="I4" s="73" t="inlineStr">
        <is>
          <t>+20%</t>
        </is>
      </c>
      <c r="J4" s="73" t="inlineStr">
        <is>
          <t>+30%</t>
        </is>
      </c>
      <c r="K4" s="73" t="inlineStr">
        <is>
          <t>敏感系数</t>
        </is>
      </c>
      <c r="L4" s="73" t="inlineStr">
        <is>
          <t>排名</t>
        </is>
      </c>
    </row>
    <row r="5">
      <c r="A5" s="72" t="inlineStr">
        <is>
          <t>建筑面积</t>
        </is>
      </c>
      <c r="B5" s="30" t="n">
        <v>25000</v>
      </c>
      <c r="C5" s="29" t="inlineStr">
        <is>
          <t>m²</t>
        </is>
      </c>
    </row>
    <row r="6">
      <c r="A6" s="72" t="inlineStr">
        <is>
          <t>年用电量</t>
        </is>
      </c>
      <c r="B6" s="30" t="n">
        <v>1500000</v>
      </c>
      <c r="C6" s="29" t="inlineStr">
        <is>
          <t>kWh</t>
        </is>
      </c>
    </row>
    <row r="7">
      <c r="A7" s="72" t="inlineStr">
        <is>
          <t>年用气量</t>
        </is>
      </c>
      <c r="B7" s="30" t="n">
        <v>50000</v>
      </c>
      <c r="C7" s="29" t="inlineStr">
        <is>
          <t>m³</t>
        </is>
      </c>
    </row>
    <row r="8">
      <c r="A8" s="72" t="inlineStr">
        <is>
          <t>年用热量</t>
        </is>
      </c>
      <c r="B8" s="30" t="n">
        <v>8000</v>
      </c>
      <c r="C8" s="29" t="inlineStr">
        <is>
          <t>GJ</t>
        </is>
      </c>
    </row>
    <row r="9">
      <c r="A9" s="72" t="inlineStr">
        <is>
          <t>入住率</t>
        </is>
      </c>
      <c r="B9" s="30" t="n">
        <v>80</v>
      </c>
      <c r="C9" s="29" t="inlineStr">
        <is>
          <t>%</t>
        </is>
      </c>
    </row>
    <row r="10">
      <c r="A10" s="72" t="inlineStr">
        <is>
          <t>暖通空调COP</t>
        </is>
      </c>
      <c r="B10" s="30" t="n">
        <v>4</v>
      </c>
      <c r="C10" s="29" t="inlineStr">
        <is>
          <t>-</t>
        </is>
      </c>
    </row>
    <row r="11">
      <c r="A11" s="72" t="inlineStr">
        <is>
          <t>照明功率密度</t>
        </is>
      </c>
      <c r="B11" s="30" t="n">
        <v>8</v>
      </c>
      <c r="C11" s="29" t="inlineStr">
        <is>
          <t>W/m²</t>
        </is>
      </c>
    </row>
    <row r="12">
      <c r="A12" s="72" t="inlineStr">
        <is>
          <t>可再生能源比例</t>
        </is>
      </c>
      <c r="B12" s="30" t="n">
        <v>15</v>
      </c>
      <c r="C12" s="29" t="inlineStr">
        <is>
          <t>%</t>
        </is>
      </c>
    </row>
    <row r="13">
      <c r="A13" s="72" t="inlineStr">
        <is>
          <t>绿电采购比例</t>
        </is>
      </c>
      <c r="B13" s="30" t="n">
        <v>0</v>
      </c>
      <c r="C13" s="29" t="inlineStr">
        <is>
          <t>%</t>
        </is>
      </c>
    </row>
    <row r="14">
      <c r="A14" s="72" t="inlineStr">
        <is>
          <t>建材总碳排放</t>
        </is>
      </c>
      <c r="B14" s="30" t="n">
        <v>5000</v>
      </c>
      <c r="C14" s="29" t="inlineStr">
        <is>
          <t>tCO₂e</t>
        </is>
      </c>
    </row>
    <row r="15">
      <c r="A15" s="72" t="inlineStr">
        <is>
          <t>年用水量</t>
        </is>
      </c>
      <c r="B15" s="30" t="n">
        <v>50000</v>
      </c>
      <c r="C15" s="29" t="inlineStr">
        <is>
          <t>m³</t>
        </is>
      </c>
    </row>
    <row r="16">
      <c r="A16" s="72" t="inlineStr">
        <is>
          <t>废弃物产生量</t>
        </is>
      </c>
      <c r="B16" s="30" t="n">
        <v>200</v>
      </c>
      <c r="C16" s="29" t="inlineStr">
        <is>
          <t>t</t>
        </is>
      </c>
    </row>
    <row r="17">
      <c r="A17" s="72" t="inlineStr">
        <is>
          <t>碳汇面积</t>
        </is>
      </c>
      <c r="B17" s="30" t="n">
        <v>5000</v>
      </c>
      <c r="C17" s="29" t="inlineStr">
        <is>
          <t>m²</t>
        </is>
      </c>
    </row>
    <row r="18">
      <c r="A18" s="72" t="inlineStr">
        <is>
          <t>电网排放因子</t>
        </is>
      </c>
      <c r="B18" s="30" t="n">
        <v>0.5836</v>
      </c>
      <c r="C18" s="29" t="inlineStr">
        <is>
          <t>kgCO₂/kWh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9688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5" t="inlineStr">
        <is>
          <t>碳排放对标分析与未来趋势预测</t>
        </is>
      </c>
    </row>
    <row r="3">
      <c r="A3" s="26" t="inlineStr">
        <is>
          <t>11.1 碳排放强度对标分析</t>
        </is>
      </c>
    </row>
    <row r="4" ht="30" customHeight="1">
      <c r="A4" s="76" t="inlineStr">
        <is>
          <t>对标指标</t>
        </is>
      </c>
      <c r="B4" s="76" t="inlineStr">
        <is>
          <t>本项目计算值</t>
        </is>
      </c>
      <c r="C4" s="76" t="inlineStr">
        <is>
          <t>单位</t>
        </is>
      </c>
      <c r="D4" s="76" t="inlineStr">
        <is>
          <t>国家限额</t>
        </is>
      </c>
      <c r="E4" s="76" t="inlineStr">
        <is>
          <t>地方限额</t>
        </is>
      </c>
      <c r="F4" s="76" t="inlineStr">
        <is>
          <t>行业先进</t>
        </is>
      </c>
      <c r="G4" s="76" t="inlineStr">
        <is>
          <t>国际先进</t>
        </is>
      </c>
      <c r="H4" s="76" t="inlineStr">
        <is>
          <t>达标情况</t>
        </is>
      </c>
      <c r="I4" s="76" t="inlineStr">
        <is>
          <t>差距分析</t>
        </is>
      </c>
      <c r="J4" s="76" t="inlineStr">
        <is>
          <t>改进建议</t>
        </is>
      </c>
    </row>
    <row r="5">
      <c r="A5" s="72" t="inlineStr">
        <is>
          <t>单位面积运行阶段碳排放</t>
        </is>
      </c>
      <c r="B5" s="30" t="inlineStr"/>
      <c r="C5" s="29" t="inlineStr">
        <is>
          <t>kgCO₂/(m²·a)</t>
        </is>
      </c>
      <c r="D5" s="47" t="n">
        <v>75</v>
      </c>
      <c r="E5" s="47" t="n">
        <v>65</v>
      </c>
      <c r="F5" s="47" t="n">
        <v>50</v>
      </c>
      <c r="G5" s="29" t="n">
        <v>35</v>
      </c>
      <c r="H5" s="74" t="inlineStr"/>
      <c r="I5" s="32" t="inlineStr"/>
      <c r="J5" s="32" t="inlineStr"/>
    </row>
    <row r="6">
      <c r="A6" s="72" t="inlineStr">
        <is>
          <t>单位面积全生命周期碳排放</t>
        </is>
      </c>
      <c r="B6" s="30" t="inlineStr"/>
      <c r="C6" s="29" t="inlineStr">
        <is>
          <t>kgCO₂e/m²</t>
        </is>
      </c>
      <c r="D6" s="47" t="n">
        <v>850</v>
      </c>
      <c r="E6" s="47" t="n">
        <v>750</v>
      </c>
      <c r="F6" s="47" t="n">
        <v>600</v>
      </c>
      <c r="G6" s="29" t="n">
        <v>450</v>
      </c>
      <c r="H6" s="74" t="inlineStr"/>
      <c r="I6" s="32" t="inlineStr"/>
      <c r="J6" s="32" t="inlineStr"/>
    </row>
    <row r="7">
      <c r="A7" s="72" t="inlineStr">
        <is>
          <t>人均运行阶段碳排放</t>
        </is>
      </c>
      <c r="B7" s="30" t="inlineStr"/>
      <c r="C7" s="29" t="inlineStr">
        <is>
          <t>tCO₂/(人·a)</t>
        </is>
      </c>
      <c r="D7" s="47" t="n">
        <v>5</v>
      </c>
      <c r="E7" s="47" t="n">
        <v>4.5</v>
      </c>
      <c r="F7" s="47" t="n">
        <v>3.5</v>
      </c>
      <c r="G7" s="29" t="n">
        <v>2.5</v>
      </c>
      <c r="H7" s="74" t="inlineStr"/>
      <c r="I7" s="32" t="inlineStr"/>
      <c r="J7" s="32" t="inlineStr"/>
    </row>
    <row r="8">
      <c r="A8" s="72" t="inlineStr">
        <is>
          <t>单位面积电力消耗</t>
        </is>
      </c>
      <c r="B8" s="30" t="inlineStr"/>
      <c r="C8" s="29" t="inlineStr">
        <is>
          <t>kWh/(m²·a)</t>
        </is>
      </c>
      <c r="D8" s="47" t="n">
        <v>150</v>
      </c>
      <c r="E8" s="47" t="n">
        <v>130</v>
      </c>
      <c r="F8" s="47" t="n">
        <v>100</v>
      </c>
      <c r="G8" s="29" t="n">
        <v>70</v>
      </c>
      <c r="H8" s="74" t="inlineStr"/>
      <c r="I8" s="32" t="inlineStr"/>
      <c r="J8" s="32" t="inlineStr"/>
    </row>
    <row r="9">
      <c r="A9" s="72" t="inlineStr">
        <is>
          <t>可再生能源利用率</t>
        </is>
      </c>
      <c r="B9" s="30" t="inlineStr"/>
      <c r="C9" s="29" t="inlineStr">
        <is>
          <t>%</t>
        </is>
      </c>
      <c r="D9" s="47" t="n">
        <v>5</v>
      </c>
      <c r="E9" s="47" t="n">
        <v>10</v>
      </c>
      <c r="F9" s="47" t="n">
        <v>20</v>
      </c>
      <c r="G9" s="29" t="n">
        <v>40</v>
      </c>
      <c r="H9" s="74" t="inlineStr"/>
      <c r="I9" s="32" t="inlineStr"/>
      <c r="J9" s="32" t="inlineStr"/>
    </row>
    <row r="10">
      <c r="A10" s="72" t="inlineStr">
        <is>
          <t>绿色建材应用比例</t>
        </is>
      </c>
      <c r="B10" s="30" t="inlineStr"/>
      <c r="C10" s="29" t="inlineStr">
        <is>
          <t>%</t>
        </is>
      </c>
      <c r="D10" s="47" t="n">
        <v>30</v>
      </c>
      <c r="E10" s="47" t="n">
        <v>40</v>
      </c>
      <c r="F10" s="47" t="n">
        <v>60</v>
      </c>
      <c r="G10" s="29" t="n">
        <v>80</v>
      </c>
      <c r="H10" s="74" t="inlineStr"/>
      <c r="I10" s="32" t="inlineStr"/>
      <c r="J10" s="32" t="inlineStr"/>
    </row>
    <row r="11">
      <c r="A11" s="72" t="inlineStr">
        <is>
          <t>碳排放强度等级</t>
        </is>
      </c>
      <c r="B11" s="30" t="inlineStr"/>
      <c r="C11" s="29" t="inlineStr">
        <is>
          <t>级</t>
        </is>
      </c>
      <c r="D11" s="47" t="inlineStr">
        <is>
          <t>-</t>
        </is>
      </c>
      <c r="E11" s="47" t="inlineStr">
        <is>
          <t>-</t>
        </is>
      </c>
      <c r="F11" s="47" t="inlineStr">
        <is>
          <t>-</t>
        </is>
      </c>
      <c r="G11" s="29" t="inlineStr">
        <is>
          <t>-</t>
        </is>
      </c>
      <c r="H11" s="74" t="inlineStr">
        <is>
          <t>□优秀□良好□合格□不合格</t>
        </is>
      </c>
      <c r="I11" s="32" t="inlineStr"/>
      <c r="J11" s="32" t="inlineStr"/>
    </row>
    <row r="14">
      <c r="A14" s="26" t="inlineStr">
        <is>
          <t>11.2 碳排放趋势预测（未来10年）</t>
        </is>
      </c>
    </row>
    <row r="15" ht="30" customHeight="1">
      <c r="A15" s="77" t="inlineStr">
        <is>
          <t>年度</t>
        </is>
      </c>
      <c r="B15" s="77" t="inlineStr">
        <is>
          <t>运行阶段排放</t>
        </is>
      </c>
      <c r="C15" s="77" t="inlineStr">
        <is>
          <t>建材运输年化</t>
        </is>
      </c>
      <c r="D15" s="77" t="inlineStr">
        <is>
          <t>建造拆除年化</t>
        </is>
      </c>
      <c r="E15" s="77" t="inlineStr">
        <is>
          <t>水资源废弃物</t>
        </is>
      </c>
      <c r="F15" s="77" t="inlineStr">
        <is>
          <t>隐含碳年化</t>
        </is>
      </c>
      <c r="G15" s="77" t="inlineStr">
        <is>
          <t>碳汇减碳</t>
        </is>
      </c>
      <c r="H15" s="77" t="inlineStr">
        <is>
          <t>可再生能源减碳</t>
        </is>
      </c>
      <c r="I15" s="77" t="inlineStr">
        <is>
          <t>净碳排放</t>
        </is>
      </c>
      <c r="J15" s="77" t="inlineStr">
        <is>
          <t>同比变化(%)</t>
        </is>
      </c>
      <c r="K15" s="77" t="inlineStr">
        <is>
          <t>累计排放</t>
        </is>
      </c>
    </row>
    <row r="16">
      <c r="A16" s="78" t="n">
        <v>2026</v>
      </c>
      <c r="B16" s="79" t="n"/>
      <c r="C16" s="79" t="n"/>
      <c r="D16" s="79" t="n"/>
      <c r="E16" s="79" t="n"/>
      <c r="F16" s="79" t="n"/>
      <c r="G16" s="79" t="n"/>
      <c r="H16" s="79" t="n"/>
      <c r="I16" s="79" t="n"/>
      <c r="J16" s="79" t="n"/>
      <c r="K16" s="79" t="n"/>
    </row>
    <row r="17">
      <c r="A17" s="78" t="n">
        <v>2027</v>
      </c>
      <c r="B17" s="79" t="n"/>
      <c r="C17" s="79" t="n"/>
      <c r="D17" s="79" t="n"/>
      <c r="E17" s="79" t="n"/>
      <c r="F17" s="79" t="n"/>
      <c r="G17" s="79" t="n"/>
      <c r="H17" s="79" t="n"/>
      <c r="I17" s="79" t="n"/>
      <c r="J17" s="79" t="n"/>
      <c r="K17" s="79" t="n"/>
    </row>
    <row r="18">
      <c r="A18" s="78" t="n">
        <v>2028</v>
      </c>
      <c r="B18" s="79" t="n"/>
      <c r="C18" s="79" t="n"/>
      <c r="D18" s="79" t="n"/>
      <c r="E18" s="79" t="n"/>
      <c r="F18" s="79" t="n"/>
      <c r="G18" s="79" t="n"/>
      <c r="H18" s="79" t="n"/>
      <c r="I18" s="79" t="n"/>
      <c r="J18" s="79" t="n"/>
      <c r="K18" s="79" t="n"/>
    </row>
    <row r="19">
      <c r="A19" s="78" t="n">
        <v>2029</v>
      </c>
      <c r="B19" s="79" t="n"/>
      <c r="C19" s="79" t="n"/>
      <c r="D19" s="79" t="n"/>
      <c r="E19" s="79" t="n"/>
      <c r="F19" s="79" t="n"/>
      <c r="G19" s="79" t="n"/>
      <c r="H19" s="79" t="n"/>
      <c r="I19" s="79" t="n"/>
      <c r="J19" s="79" t="n"/>
      <c r="K19" s="79" t="n"/>
    </row>
    <row r="20">
      <c r="A20" s="78" t="n">
        <v>2030</v>
      </c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</row>
    <row r="21">
      <c r="A21" s="78" t="n">
        <v>2031</v>
      </c>
      <c r="B21" s="79" t="n"/>
      <c r="C21" s="79" t="n"/>
      <c r="D21" s="79" t="n"/>
      <c r="E21" s="79" t="n"/>
      <c r="F21" s="79" t="n"/>
      <c r="G21" s="79" t="n"/>
      <c r="H21" s="79" t="n"/>
      <c r="I21" s="79" t="n"/>
      <c r="J21" s="79" t="n"/>
      <c r="K21" s="79" t="n"/>
    </row>
    <row r="22">
      <c r="A22" s="78" t="n">
        <v>2032</v>
      </c>
      <c r="B22" s="79" t="n"/>
      <c r="C22" s="79" t="n"/>
      <c r="D22" s="79" t="n"/>
      <c r="E22" s="79" t="n"/>
      <c r="F22" s="79" t="n"/>
      <c r="G22" s="79" t="n"/>
      <c r="H22" s="79" t="n"/>
      <c r="I22" s="79" t="n"/>
      <c r="J22" s="79" t="n"/>
      <c r="K22" s="79" t="n"/>
    </row>
    <row r="23">
      <c r="A23" s="78" t="n">
        <v>2033</v>
      </c>
      <c r="B23" s="79" t="n"/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</row>
    <row r="24">
      <c r="A24" s="78" t="n">
        <v>2034</v>
      </c>
      <c r="B24" s="79" t="n"/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</row>
    <row r="25">
      <c r="A25" s="78" t="n">
        <v>2035</v>
      </c>
      <c r="B25" s="79" t="n"/>
      <c r="C25" s="79" t="n"/>
      <c r="D25" s="79" t="n"/>
      <c r="E25" s="79" t="n"/>
      <c r="F25" s="79" t="n"/>
      <c r="G25" s="79" t="n"/>
      <c r="H25" s="79" t="n"/>
      <c r="I25" s="79" t="n"/>
      <c r="J25" s="79" t="n"/>
      <c r="K25" s="79" t="n"/>
    </row>
    <row r="26">
      <c r="A26" s="78" t="n">
        <v>2036</v>
      </c>
      <c r="B26" s="79" t="n"/>
      <c r="C26" s="79" t="n"/>
      <c r="D26" s="79" t="n"/>
      <c r="E26" s="79" t="n"/>
      <c r="F26" s="79" t="n"/>
      <c r="G26" s="79" t="n"/>
      <c r="H26" s="79" t="n"/>
      <c r="I26" s="79" t="n"/>
      <c r="J26" s="79" t="n"/>
      <c r="K26" s="79" t="n"/>
    </row>
  </sheetData>
  <mergeCells count="3">
    <mergeCell ref="A3:L3"/>
    <mergeCell ref="A14:L14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5722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  <col width="20" customWidth="1" min="7" max="7"/>
  </cols>
  <sheetData>
    <row r="1">
      <c r="A1" s="25" t="inlineStr">
        <is>
          <t>碳排放权交易与碳成本核算</t>
        </is>
      </c>
    </row>
    <row r="3">
      <c r="A3" s="26" t="inlineStr">
        <is>
          <t>12.1 碳配额管理与核算</t>
        </is>
      </c>
    </row>
    <row r="4" ht="30" customHeight="1">
      <c r="A4" s="77" t="inlineStr">
        <is>
          <t>项目</t>
        </is>
      </c>
      <c r="B4" s="77" t="inlineStr">
        <is>
          <t>年度配额量(tCO₂e)</t>
        </is>
      </c>
      <c r="C4" s="77" t="inlineStr">
        <is>
          <t>实际排放量</t>
        </is>
      </c>
      <c r="D4" s="77" t="inlineStr">
        <is>
          <t>配额盈亏</t>
        </is>
      </c>
      <c r="E4" s="77" t="inlineStr">
        <is>
          <t>配额价格(元/t)</t>
        </is>
      </c>
      <c r="F4" s="77" t="inlineStr">
        <is>
          <t>配额价值(元)</t>
        </is>
      </c>
      <c r="G4" s="77" t="inlineStr">
        <is>
          <t>交易策略</t>
        </is>
      </c>
      <c r="H4" s="77" t="inlineStr">
        <is>
          <t>履约情况</t>
        </is>
      </c>
      <c r="I4" s="77" t="inlineStr">
        <is>
          <t>数据来源</t>
        </is>
      </c>
    </row>
    <row r="5">
      <c r="A5" s="72" t="inlineStr">
        <is>
          <t>运行阶段碳排放</t>
        </is>
      </c>
      <c r="B5" s="35" t="inlineStr"/>
      <c r="C5" s="35" t="inlineStr"/>
      <c r="D5" s="38">
        <f>IF(B5="","",B5-C5)</f>
        <v/>
      </c>
      <c r="E5" s="30" t="n">
        <v>80</v>
      </c>
      <c r="F5" s="38">
        <f>IF(D5="","",D5*E5)</f>
        <v/>
      </c>
      <c r="G5" s="29" t="inlineStr">
        <is>
          <t>□出售 □购买</t>
        </is>
      </c>
      <c r="H5" s="29" t="inlineStr">
        <is>
          <t>□履约 □未履约</t>
        </is>
      </c>
      <c r="I5" s="32" t="inlineStr">
        <is>
          <t>生态环境部门</t>
        </is>
      </c>
    </row>
    <row r="6">
      <c r="A6" s="72" t="inlineStr">
        <is>
          <t>建材生产运输(年化)</t>
        </is>
      </c>
      <c r="B6" s="35" t="inlineStr"/>
      <c r="C6" s="35" t="inlineStr"/>
      <c r="D6" s="38">
        <f>IF(B6="","",B6-C6)</f>
        <v/>
      </c>
      <c r="E6" s="30" t="n">
        <v>80</v>
      </c>
      <c r="F6" s="38">
        <f>IF(D6="","",D6*E6)</f>
        <v/>
      </c>
      <c r="G6" s="29" t="inlineStr">
        <is>
          <t>□出售 □购买</t>
        </is>
      </c>
      <c r="H6" s="29" t="inlineStr">
        <is>
          <t>□履约 □未履约</t>
        </is>
      </c>
      <c r="I6" s="32" t="inlineStr"/>
    </row>
    <row r="7">
      <c r="A7" s="72" t="inlineStr">
        <is>
          <t>建造拆除(年化)</t>
        </is>
      </c>
      <c r="B7" s="35" t="inlineStr"/>
      <c r="C7" s="35" t="inlineStr"/>
      <c r="D7" s="38">
        <f>IF(B7="","",B7-C7)</f>
        <v/>
      </c>
      <c r="E7" s="30" t="n">
        <v>80</v>
      </c>
      <c r="F7" s="38">
        <f>IF(D7="","",D7*E7)</f>
        <v/>
      </c>
      <c r="G7" s="29" t="inlineStr">
        <is>
          <t>□出售 □购买</t>
        </is>
      </c>
      <c r="H7" s="29" t="inlineStr">
        <is>
          <t>□履约 □未履约</t>
        </is>
      </c>
      <c r="I7" s="32" t="inlineStr"/>
    </row>
    <row r="8">
      <c r="A8" s="72" t="inlineStr">
        <is>
          <t>其他排放源</t>
        </is>
      </c>
      <c r="B8" s="35" t="inlineStr"/>
      <c r="C8" s="35" t="inlineStr"/>
      <c r="D8" s="38">
        <f>IF(B8="","",B8-C8)</f>
        <v/>
      </c>
      <c r="E8" s="30" t="n">
        <v>80</v>
      </c>
      <c r="F8" s="38">
        <f>IF(D8="","",D8*E8)</f>
        <v/>
      </c>
      <c r="G8" s="29" t="inlineStr">
        <is>
          <t>□出售 □购买</t>
        </is>
      </c>
      <c r="H8" s="29" t="inlineStr">
        <is>
          <t>□履约 □未履约</t>
        </is>
      </c>
      <c r="I8" s="32" t="inlineStr"/>
    </row>
    <row r="9">
      <c r="A9" s="72" t="inlineStr">
        <is>
          <t>合计</t>
        </is>
      </c>
      <c r="B9" s="35" t="inlineStr"/>
      <c r="C9" s="35" t="inlineStr"/>
      <c r="D9" s="38">
        <f>IF(B9="","",B9-C9)</f>
        <v/>
      </c>
      <c r="E9" s="30" t="inlineStr"/>
      <c r="F9" s="38">
        <f>IF(D9="","",D9*E9)</f>
        <v/>
      </c>
      <c r="G9" s="29" t="inlineStr"/>
      <c r="H9" s="29" t="inlineStr"/>
      <c r="I9" s="32" t="inlineStr"/>
    </row>
    <row r="12">
      <c r="A12" s="26" t="inlineStr">
        <is>
          <t>12.2 碳减排项目（CCER）开发潜力</t>
        </is>
      </c>
    </row>
    <row r="13" ht="30" customHeight="1">
      <c r="A13" s="28" t="inlineStr">
        <is>
          <t>减排项目类型</t>
        </is>
      </c>
      <c r="B13" s="28" t="inlineStr">
        <is>
          <t>年减排量(tCO₂e/a)</t>
        </is>
      </c>
      <c r="C13" s="28" t="inlineStr">
        <is>
          <t>CCER价格(元/t)</t>
        </is>
      </c>
      <c r="D13" s="28" t="inlineStr">
        <is>
          <t>年收益(元)</t>
        </is>
      </c>
      <c r="E13" s="28" t="inlineStr">
        <is>
          <t>开发成本(元)</t>
        </is>
      </c>
      <c r="F13" s="28" t="inlineStr">
        <is>
          <t>项目状态</t>
        </is>
      </c>
      <c r="G13" s="28" t="inlineStr">
        <is>
          <t>开发建议</t>
        </is>
      </c>
    </row>
    <row r="14">
      <c r="A14" s="80" t="inlineStr">
        <is>
          <t>分布式光伏发电</t>
        </is>
      </c>
      <c r="B14" s="49" t="inlineStr"/>
      <c r="C14" s="49" t="inlineStr"/>
      <c r="D14" s="49" t="inlineStr"/>
      <c r="E14" s="66" t="inlineStr"/>
      <c r="F14" s="50" t="inlineStr">
        <is>
          <t>□开发中 □规划中</t>
        </is>
      </c>
      <c r="G14" s="50" t="inlineStr"/>
    </row>
    <row r="15">
      <c r="A15" s="80" t="inlineStr">
        <is>
          <t>太阳能热水系统</t>
        </is>
      </c>
      <c r="B15" s="49" t="inlineStr"/>
      <c r="C15" s="49" t="inlineStr"/>
      <c r="D15" s="49" t="inlineStr"/>
      <c r="E15" s="66" t="inlineStr"/>
      <c r="F15" s="50" t="inlineStr">
        <is>
          <t>□开发中 □规划中</t>
        </is>
      </c>
      <c r="G15" s="50" t="inlineStr"/>
    </row>
    <row r="16">
      <c r="A16" s="80" t="inlineStr">
        <is>
          <t>地源热泵系统</t>
        </is>
      </c>
      <c r="B16" s="49" t="inlineStr"/>
      <c r="C16" s="49" t="inlineStr"/>
      <c r="D16" s="49" t="inlineStr"/>
      <c r="E16" s="66" t="inlineStr"/>
      <c r="F16" s="50" t="inlineStr">
        <is>
          <t>□开发中 □规划中</t>
        </is>
      </c>
      <c r="G16" s="50" t="inlineStr"/>
    </row>
    <row r="17">
      <c r="A17" s="80" t="inlineStr">
        <is>
          <t>建筑节能改造</t>
        </is>
      </c>
      <c r="B17" s="49" t="inlineStr"/>
      <c r="C17" s="49" t="inlineStr"/>
      <c r="D17" s="49" t="inlineStr"/>
      <c r="E17" s="66" t="inlineStr"/>
      <c r="F17" s="50" t="inlineStr">
        <is>
          <t>□开发中 □规划中</t>
        </is>
      </c>
      <c r="G17" s="50" t="inlineStr"/>
    </row>
    <row r="18">
      <c r="A18" s="80" t="inlineStr">
        <is>
          <t>碳汇造林项目</t>
        </is>
      </c>
      <c r="B18" s="49" t="inlineStr"/>
      <c r="C18" s="49" t="inlineStr"/>
      <c r="D18" s="49" t="inlineStr"/>
      <c r="E18" s="66" t="inlineStr"/>
      <c r="F18" s="50" t="inlineStr">
        <is>
          <t>□开发中 □规划中</t>
        </is>
      </c>
      <c r="G18" s="50" t="inlineStr"/>
    </row>
  </sheetData>
  <mergeCells count="3">
    <mergeCell ref="A3:L3"/>
    <mergeCell ref="A1:L1"/>
    <mergeCell ref="A12:L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44336"/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5" customWidth="1" min="4" max="4"/>
    <col width="18" customWidth="1" min="5" max="5"/>
    <col width="22" customWidth="1" min="6" max="6"/>
    <col width="22" customWidth="1" min="7" max="7"/>
    <col width="15" customWidth="1" min="8" max="8"/>
    <col width="25" customWidth="1" min="9" max="9"/>
    <col width="20" customWidth="1" min="10" max="10"/>
  </cols>
  <sheetData>
    <row r="1">
      <c r="A1" s="81" t="inlineStr">
        <is>
          <t>公共建筑全生命周期碳排放汇总报告</t>
        </is>
      </c>
    </row>
    <row r="2">
      <c r="A2" s="82" t="inlineStr">
        <is>
          <t>基于GB/T 51366-2019和JS/T 303-2026 - 增强版V2.0</t>
        </is>
      </c>
    </row>
    <row r="4">
      <c r="A4" s="83" t="inlineStr">
        <is>
          <t>一、项目基本信息摘要</t>
        </is>
      </c>
    </row>
    <row r="5">
      <c r="A5" s="84" t="inlineStr">
        <is>
          <t>项目名称</t>
        </is>
      </c>
      <c r="B5" s="30" t="inlineStr"/>
      <c r="C5" s="84" t="inlineStr">
        <is>
          <t>建筑类型</t>
        </is>
      </c>
      <c r="D5" s="30" t="inlineStr"/>
      <c r="E5" s="84" t="inlineStr">
        <is>
          <t>计算年度</t>
        </is>
      </c>
      <c r="F5" s="30" t="inlineStr"/>
      <c r="G5" s="84" t="inlineStr">
        <is>
          <t>编制日期</t>
        </is>
      </c>
      <c r="H5" s="30" t="inlineStr"/>
      <c r="I5" s="30" t="inlineStr"/>
      <c r="J5" s="30" t="inlineStr"/>
    </row>
    <row r="6">
      <c r="A6" s="84" t="inlineStr">
        <is>
          <t>建筑面积</t>
        </is>
      </c>
      <c r="B6" s="30" t="inlineStr">
        <is>
          <t>m²</t>
        </is>
      </c>
      <c r="C6" s="84" t="inlineStr">
        <is>
          <t>建筑层数</t>
        </is>
      </c>
      <c r="D6" s="30" t="inlineStr">
        <is>
          <t>层</t>
        </is>
      </c>
      <c r="E6" s="84" t="inlineStr">
        <is>
          <t>使用人数</t>
        </is>
      </c>
      <c r="F6" s="30" t="inlineStr">
        <is>
          <t>人</t>
        </is>
      </c>
      <c r="G6" s="84" t="inlineStr">
        <is>
          <t>年运行天数</t>
        </is>
      </c>
      <c r="H6" s="30" t="inlineStr">
        <is>
          <t>天</t>
        </is>
      </c>
      <c r="I6" s="30" t="inlineStr"/>
      <c r="J6" s="30" t="inlineStr"/>
    </row>
    <row r="7">
      <c r="A7" s="84" t="inlineStr">
        <is>
          <t>年用电量</t>
        </is>
      </c>
      <c r="B7" s="30" t="inlineStr">
        <is>
          <t>kWh</t>
        </is>
      </c>
      <c r="C7" s="84" t="inlineStr">
        <is>
          <t>年用气量</t>
        </is>
      </c>
      <c r="D7" s="30" t="inlineStr">
        <is>
          <t>m³</t>
        </is>
      </c>
      <c r="E7" s="84" t="inlineStr">
        <is>
          <t>年用热量</t>
        </is>
      </c>
      <c r="F7" s="30" t="inlineStr">
        <is>
          <t>GJ</t>
        </is>
      </c>
      <c r="G7" s="84" t="inlineStr">
        <is>
          <t>年用水量</t>
        </is>
      </c>
      <c r="H7" s="30" t="inlineStr">
        <is>
          <t>m³</t>
        </is>
      </c>
      <c r="I7" s="30" t="inlineStr"/>
      <c r="J7" s="30" t="inlineStr"/>
    </row>
    <row r="8">
      <c r="A8" s="84" t="inlineStr">
        <is>
          <t>可再生能源类型</t>
        </is>
      </c>
      <c r="B8" s="30" t="inlineStr"/>
      <c r="C8" s="84" t="inlineStr">
        <is>
          <t>装机容量</t>
        </is>
      </c>
      <c r="D8" s="30" t="inlineStr">
        <is>
          <t>kW</t>
        </is>
      </c>
      <c r="E8" s="84" t="inlineStr">
        <is>
          <t>年发电量</t>
        </is>
      </c>
      <c r="F8" s="30" t="inlineStr">
        <is>
          <t>kWh</t>
        </is>
      </c>
      <c r="G8" s="84" t="inlineStr">
        <is>
          <t>年减碳量</t>
        </is>
      </c>
      <c r="H8" s="30" t="inlineStr">
        <is>
          <t>tCO₂</t>
        </is>
      </c>
      <c r="I8" s="30" t="inlineStr"/>
      <c r="J8" s="30" t="inlineStr"/>
    </row>
    <row r="11">
      <c r="A11" s="83" t="inlineStr">
        <is>
          <t>二、建筑全生命周期碳排放汇总（含所有计算模块）</t>
        </is>
      </c>
    </row>
    <row r="12" ht="35" customHeight="1">
      <c r="A12" s="28" t="inlineStr">
        <is>
          <t>排放阶段/类别</t>
        </is>
      </c>
      <c r="B12" s="28" t="inlineStr">
        <is>
          <t>碳排放量
(tCO₂e)</t>
        </is>
      </c>
      <c r="C12" s="28" t="inlineStr">
        <is>
          <t>单位面积碳排放
(kgCO₂e/m²)</t>
        </is>
      </c>
      <c r="D12" s="28" t="inlineStr">
        <is>
          <t>占总排放比例
(%)</t>
        </is>
      </c>
      <c r="E12" s="28" t="inlineStr">
        <is>
          <t>人均碳排放
(tCO₂e/人)</t>
        </is>
      </c>
      <c r="F12" s="28" t="inlineStr">
        <is>
          <t>主要排放源</t>
        </is>
      </c>
      <c r="G12" s="28" t="inlineStr">
        <is>
          <t>关键影响因素</t>
        </is>
      </c>
      <c r="H12" s="28" t="inlineStr">
        <is>
          <t>减排潜力
(%)</t>
        </is>
      </c>
      <c r="I12" s="28" t="inlineStr">
        <is>
          <t>减排建议</t>
        </is>
      </c>
      <c r="J12" s="28" t="inlineStr">
        <is>
          <t>备注</t>
        </is>
      </c>
    </row>
    <row r="13">
      <c r="A13" s="72" t="inlineStr">
        <is>
          <t>建材生产阶段</t>
        </is>
      </c>
      <c r="B13" s="29" t="inlineStr"/>
      <c r="C13" s="29" t="inlineStr"/>
      <c r="D13" s="29" t="inlineStr"/>
      <c r="E13" s="29" t="inlineStr"/>
      <c r="F13" s="32" t="inlineStr">
        <is>
          <t>主要建材消耗</t>
        </is>
      </c>
      <c r="G13" s="32" t="inlineStr"/>
      <c r="H13" s="32" t="inlineStr"/>
      <c r="I13" s="32" t="inlineStr"/>
      <c r="J13" s="32" t="inlineStr"/>
    </row>
    <row r="14">
      <c r="A14" s="72" t="inlineStr">
        <is>
          <t>建材运输阶段</t>
        </is>
      </c>
      <c r="B14" s="29" t="inlineStr"/>
      <c r="C14" s="29" t="inlineStr"/>
      <c r="D14" s="29" t="inlineStr"/>
      <c r="E14" s="29" t="inlineStr"/>
      <c r="F14" s="32" t="inlineStr">
        <is>
          <t>运输距离和方式</t>
        </is>
      </c>
      <c r="G14" s="32" t="inlineStr"/>
      <c r="H14" s="32" t="inlineStr"/>
      <c r="I14" s="32" t="inlineStr"/>
      <c r="J14" s="32" t="inlineStr"/>
    </row>
    <row r="15">
      <c r="A15" s="39" t="inlineStr">
        <is>
          <t>建材阶段小计</t>
        </is>
      </c>
      <c r="B15" s="39" t="inlineStr"/>
      <c r="C15" s="39" t="inlineStr"/>
      <c r="D15" s="39" t="inlineStr"/>
      <c r="E15" s="39" t="inlineStr"/>
      <c r="F15" s="40" t="inlineStr"/>
      <c r="G15" s="40" t="inlineStr"/>
      <c r="H15" s="40" t="inlineStr"/>
      <c r="I15" s="40" t="inlineStr"/>
      <c r="J15" s="40" t="inlineStr"/>
    </row>
    <row r="16">
      <c r="A16" s="72" t="inlineStr"/>
      <c r="B16" s="29" t="inlineStr"/>
      <c r="C16" s="29" t="inlineStr"/>
      <c r="D16" s="29" t="inlineStr"/>
      <c r="E16" s="29" t="inlineStr"/>
      <c r="F16" s="32" t="inlineStr"/>
      <c r="G16" s="32" t="inlineStr"/>
      <c r="H16" s="32" t="inlineStr"/>
      <c r="I16" s="32" t="inlineStr"/>
      <c r="J16" s="32" t="inlineStr"/>
    </row>
    <row r="17">
      <c r="A17" s="72" t="inlineStr">
        <is>
          <t>建造阶段</t>
        </is>
      </c>
      <c r="B17" s="29" t="inlineStr"/>
      <c r="C17" s="29" t="inlineStr"/>
      <c r="D17" s="29" t="inlineStr"/>
      <c r="E17" s="29" t="inlineStr"/>
      <c r="F17" s="32" t="inlineStr">
        <is>
          <t>分部分项工程</t>
        </is>
      </c>
      <c r="G17" s="32" t="inlineStr"/>
      <c r="H17" s="32" t="inlineStr"/>
      <c r="I17" s="32" t="inlineStr"/>
      <c r="J17" s="32" t="inlineStr"/>
    </row>
    <row r="18">
      <c r="A18" s="72" t="inlineStr">
        <is>
          <t>绿色施工节能量</t>
        </is>
      </c>
      <c r="B18" s="29" t="inlineStr"/>
      <c r="C18" s="29" t="inlineStr"/>
      <c r="D18" s="29" t="inlineStr"/>
      <c r="E18" s="29" t="inlineStr"/>
      <c r="F18" s="32" t="inlineStr">
        <is>
          <t>装配式等措施</t>
        </is>
      </c>
      <c r="G18" s="32" t="inlineStr"/>
      <c r="H18" s="32" t="inlineStr"/>
      <c r="I18" s="32" t="inlineStr"/>
      <c r="J18" s="32" t="inlineStr"/>
    </row>
    <row r="19">
      <c r="A19" s="72" t="inlineStr">
        <is>
          <t>拆除阶段</t>
        </is>
      </c>
      <c r="B19" s="29" t="inlineStr"/>
      <c r="C19" s="29" t="inlineStr"/>
      <c r="D19" s="29" t="inlineStr"/>
      <c r="E19" s="29" t="inlineStr"/>
      <c r="F19" s="32" t="inlineStr">
        <is>
          <t>拆除工程量</t>
        </is>
      </c>
      <c r="G19" s="32" t="inlineStr"/>
      <c r="H19" s="32" t="inlineStr"/>
      <c r="I19" s="32" t="inlineStr"/>
      <c r="J19" s="32" t="inlineStr"/>
    </row>
    <row r="20">
      <c r="A20" s="39" t="inlineStr">
        <is>
          <t>建造拆除小计</t>
        </is>
      </c>
      <c r="B20" s="39" t="inlineStr"/>
      <c r="C20" s="39" t="inlineStr"/>
      <c r="D20" s="39" t="inlineStr"/>
      <c r="E20" s="39" t="inlineStr"/>
      <c r="F20" s="40" t="inlineStr"/>
      <c r="G20" s="40" t="inlineStr"/>
      <c r="H20" s="40" t="inlineStr"/>
      <c r="I20" s="40" t="inlineStr"/>
      <c r="J20" s="40" t="inlineStr"/>
    </row>
    <row r="21">
      <c r="A21" s="72" t="inlineStr"/>
      <c r="B21" s="29" t="inlineStr"/>
      <c r="C21" s="29" t="inlineStr"/>
      <c r="D21" s="29" t="inlineStr"/>
      <c r="E21" s="29" t="inlineStr"/>
      <c r="F21" s="32" t="inlineStr"/>
      <c r="G21" s="32" t="inlineStr"/>
      <c r="H21" s="32" t="inlineStr"/>
      <c r="I21" s="32" t="inlineStr"/>
      <c r="J21" s="32" t="inlineStr"/>
    </row>
    <row r="22">
      <c r="A22" s="72" t="inlineStr">
        <is>
          <t>运行阶段-电力</t>
        </is>
      </c>
      <c r="B22" s="29" t="inlineStr"/>
      <c r="C22" s="29" t="inlineStr"/>
      <c r="D22" s="29" t="inlineStr"/>
      <c r="E22" s="29" t="inlineStr"/>
      <c r="F22" s="32" t="inlineStr">
        <is>
          <t>暖通空调、照明等</t>
        </is>
      </c>
      <c r="G22" s="32" t="inlineStr"/>
      <c r="H22" s="32" t="inlineStr"/>
      <c r="I22" s="32" t="inlineStr"/>
      <c r="J22" s="32" t="inlineStr"/>
    </row>
    <row r="23">
      <c r="A23" s="72" t="inlineStr">
        <is>
          <t>运行阶段-天然气</t>
        </is>
      </c>
      <c r="B23" s="29" t="inlineStr"/>
      <c r="C23" s="29" t="inlineStr"/>
      <c r="D23" s="29" t="inlineStr"/>
      <c r="E23" s="29" t="inlineStr"/>
      <c r="F23" s="32" t="inlineStr">
        <is>
          <t>供暖、生活用气</t>
        </is>
      </c>
      <c r="G23" s="32" t="inlineStr"/>
      <c r="H23" s="32" t="inlineStr"/>
      <c r="I23" s="32" t="inlineStr"/>
      <c r="J23" s="32" t="inlineStr"/>
    </row>
    <row r="24">
      <c r="A24" s="72" t="inlineStr">
        <is>
          <t>运行阶段-热力</t>
        </is>
      </c>
      <c r="B24" s="29" t="inlineStr"/>
      <c r="C24" s="29" t="inlineStr"/>
      <c r="D24" s="29" t="inlineStr"/>
      <c r="E24" s="29" t="inlineStr"/>
      <c r="F24" s="32" t="inlineStr">
        <is>
          <t>集中供热</t>
        </is>
      </c>
      <c r="G24" s="32" t="inlineStr"/>
      <c r="H24" s="32" t="inlineStr"/>
      <c r="I24" s="32" t="inlineStr"/>
      <c r="J24" s="32" t="inlineStr"/>
    </row>
    <row r="25">
      <c r="A25" s="72" t="inlineStr">
        <is>
          <t>运行阶段-其他能源</t>
        </is>
      </c>
      <c r="B25" s="29" t="inlineStr"/>
      <c r="C25" s="29" t="inlineStr"/>
      <c r="D25" s="29" t="inlineStr"/>
      <c r="E25" s="29" t="inlineStr"/>
      <c r="F25" s="32" t="inlineStr">
        <is>
          <t>汽油、柴油等</t>
        </is>
      </c>
      <c r="G25" s="32" t="inlineStr"/>
      <c r="H25" s="32" t="inlineStr"/>
      <c r="I25" s="32" t="inlineStr"/>
      <c r="J25" s="32" t="inlineStr"/>
    </row>
    <row r="26">
      <c r="A26" s="39" t="inlineStr">
        <is>
          <t>运行阶段小计</t>
        </is>
      </c>
      <c r="B26" s="39" t="inlineStr"/>
      <c r="C26" s="39" t="inlineStr"/>
      <c r="D26" s="39" t="inlineStr"/>
      <c r="E26" s="39" t="inlineStr"/>
      <c r="F26" s="40" t="inlineStr"/>
      <c r="G26" s="40" t="inlineStr"/>
      <c r="H26" s="40" t="inlineStr"/>
      <c r="I26" s="40" t="inlineStr"/>
      <c r="J26" s="40" t="inlineStr"/>
    </row>
    <row r="27">
      <c r="A27" s="72" t="inlineStr"/>
      <c r="B27" s="29" t="inlineStr"/>
      <c r="C27" s="29" t="inlineStr"/>
      <c r="D27" s="29" t="inlineStr"/>
      <c r="E27" s="29" t="inlineStr"/>
      <c r="F27" s="32" t="inlineStr"/>
      <c r="G27" s="32" t="inlineStr"/>
      <c r="H27" s="32" t="inlineStr"/>
      <c r="I27" s="32" t="inlineStr"/>
      <c r="J27" s="32" t="inlineStr"/>
    </row>
    <row r="28">
      <c r="A28" s="72" t="inlineStr">
        <is>
          <t>水资源消耗</t>
        </is>
      </c>
      <c r="B28" s="29" t="inlineStr"/>
      <c r="C28" s="29" t="inlineStr"/>
      <c r="D28" s="29" t="inlineStr"/>
      <c r="E28" s="29" t="inlineStr"/>
      <c r="F28" s="32" t="inlineStr">
        <is>
          <t>供水和排水</t>
        </is>
      </c>
      <c r="G28" s="32" t="inlineStr"/>
      <c r="H28" s="32" t="inlineStr"/>
      <c r="I28" s="32" t="inlineStr"/>
      <c r="J28" s="32" t="inlineStr"/>
    </row>
    <row r="29">
      <c r="A29" s="72" t="inlineStr">
        <is>
          <t>废弃物处理</t>
        </is>
      </c>
      <c r="B29" s="29" t="inlineStr"/>
      <c r="C29" s="29" t="inlineStr"/>
      <c r="D29" s="29" t="inlineStr"/>
      <c r="E29" s="29" t="inlineStr"/>
      <c r="F29" s="32" t="inlineStr">
        <is>
          <t>垃圾和废弃物</t>
        </is>
      </c>
      <c r="G29" s="32" t="inlineStr"/>
      <c r="H29" s="32" t="inlineStr"/>
      <c r="I29" s="32" t="inlineStr"/>
      <c r="J29" s="32" t="inlineStr"/>
    </row>
    <row r="30">
      <c r="A30" s="39" t="inlineStr">
        <is>
          <t>水与废弃物小计</t>
        </is>
      </c>
      <c r="B30" s="39" t="inlineStr"/>
      <c r="C30" s="39" t="inlineStr"/>
      <c r="D30" s="39" t="inlineStr"/>
      <c r="E30" s="39" t="inlineStr"/>
      <c r="F30" s="40" t="inlineStr"/>
      <c r="G30" s="40" t="inlineStr"/>
      <c r="H30" s="40" t="inlineStr"/>
      <c r="I30" s="40" t="inlineStr"/>
      <c r="J30" s="40" t="inlineStr"/>
    </row>
    <row r="31">
      <c r="A31" s="72" t="inlineStr"/>
      <c r="B31" s="29" t="inlineStr"/>
      <c r="C31" s="29" t="inlineStr"/>
      <c r="D31" s="29" t="inlineStr"/>
      <c r="E31" s="29" t="inlineStr"/>
      <c r="F31" s="32" t="inlineStr"/>
      <c r="G31" s="32" t="inlineStr"/>
      <c r="H31" s="32" t="inlineStr"/>
      <c r="I31" s="32" t="inlineStr"/>
      <c r="J31" s="32" t="inlineStr"/>
    </row>
    <row r="32">
      <c r="A32" s="72" t="inlineStr">
        <is>
          <t>隐含碳排放（年化）</t>
        </is>
      </c>
      <c r="B32" s="29" t="inlineStr"/>
      <c r="C32" s="29" t="inlineStr"/>
      <c r="D32" s="29" t="inlineStr"/>
      <c r="E32" s="29" t="inlineStr"/>
      <c r="F32" s="32" t="inlineStr">
        <is>
          <t>家具、设备、IT</t>
        </is>
      </c>
      <c r="G32" s="32" t="inlineStr">
        <is>
          <t>资产使用寿命</t>
        </is>
      </c>
      <c r="H32" s="32" t="inlineStr"/>
      <c r="I32" s="32" t="inlineStr"/>
      <c r="J32" s="32" t="inlineStr"/>
    </row>
    <row r="33">
      <c r="A33" s="72" t="inlineStr">
        <is>
          <t>建筑碳汇（年减碳）</t>
        </is>
      </c>
      <c r="B33" s="29" t="inlineStr"/>
      <c r="C33" s="29" t="inlineStr"/>
      <c r="D33" s="29" t="inlineStr"/>
      <c r="E33" s="29" t="inlineStr"/>
      <c r="F33" s="32" t="inlineStr">
        <is>
          <t>绿地、立体绿化</t>
        </is>
      </c>
      <c r="G33" s="32" t="inlineStr">
        <is>
          <t>绿化面积和类型</t>
        </is>
      </c>
      <c r="H33" s="32" t="inlineStr"/>
      <c r="I33" s="32" t="inlineStr"/>
      <c r="J33" s="32" t="inlineStr">
        <is>
          <t>负值</t>
        </is>
      </c>
    </row>
    <row r="34">
      <c r="A34" s="72" t="inlineStr">
        <is>
          <t>可再生能源减碳</t>
        </is>
      </c>
      <c r="B34" s="29" t="inlineStr"/>
      <c r="C34" s="29" t="inlineStr"/>
      <c r="D34" s="29" t="inlineStr"/>
      <c r="E34" s="29" t="inlineStr"/>
      <c r="F34" s="32" t="inlineStr">
        <is>
          <t>光伏、太阳能</t>
        </is>
      </c>
      <c r="G34" s="32" t="inlineStr">
        <is>
          <t>装机容量</t>
        </is>
      </c>
      <c r="H34" s="32" t="inlineStr"/>
      <c r="I34" s="32" t="inlineStr"/>
      <c r="J34" s="32" t="inlineStr">
        <is>
          <t>负值</t>
        </is>
      </c>
    </row>
    <row r="35">
      <c r="A35" s="72" t="inlineStr"/>
      <c r="B35" s="29" t="inlineStr"/>
      <c r="C35" s="29" t="inlineStr"/>
      <c r="D35" s="29" t="inlineStr"/>
      <c r="E35" s="29" t="inlineStr"/>
      <c r="F35" s="32" t="inlineStr"/>
      <c r="G35" s="32" t="inlineStr"/>
      <c r="H35" s="32" t="inlineStr"/>
      <c r="I35" s="32" t="inlineStr"/>
      <c r="J35" s="32" t="inlineStr"/>
    </row>
    <row r="36">
      <c r="A36" s="39" t="inlineStr">
        <is>
          <t>建筑全生命周期碳排放总计</t>
        </is>
      </c>
      <c r="B36" s="39" t="inlineStr"/>
      <c r="C36" s="39" t="inlineStr"/>
      <c r="D36" s="39" t="inlineStr"/>
      <c r="E36" s="39" t="inlineStr"/>
      <c r="F36" s="40" t="inlineStr"/>
      <c r="G36" s="40" t="inlineStr"/>
      <c r="H36" s="40" t="inlineStr"/>
      <c r="I36" s="40" t="inlineStr"/>
      <c r="J36" s="40" t="inlineStr"/>
    </row>
    <row r="39">
      <c r="A39" s="83" t="inlineStr">
        <is>
          <t>三、碳排放强度指标与等级评定</t>
        </is>
      </c>
    </row>
    <row r="40">
      <c r="A40" s="85" t="inlineStr">
        <is>
          <t>指标名称</t>
        </is>
      </c>
      <c r="B40" s="85" t="inlineStr">
        <is>
          <t>计算值</t>
        </is>
      </c>
      <c r="C40" s="85" t="inlineStr">
        <is>
          <t>单位</t>
        </is>
      </c>
      <c r="D40" s="85" t="inlineStr">
        <is>
          <t>国家限额</t>
        </is>
      </c>
      <c r="E40" s="85" t="inlineStr">
        <is>
          <t>地方限额</t>
        </is>
      </c>
      <c r="F40" s="85" t="inlineStr">
        <is>
          <t>行业先进</t>
        </is>
      </c>
      <c r="G40" s="85" t="inlineStr">
        <is>
          <t>国际先进</t>
        </is>
      </c>
      <c r="H40" s="85" t="inlineStr">
        <is>
          <t>达标情况</t>
        </is>
      </c>
      <c r="I40" s="85" t="inlineStr">
        <is>
          <t>等级评定</t>
        </is>
      </c>
      <c r="J40" s="85" t="inlineStr">
        <is>
          <t>备注</t>
        </is>
      </c>
    </row>
    <row r="41">
      <c r="A41" s="45" t="inlineStr">
        <is>
          <t>单位面积建材生产碳排放</t>
        </is>
      </c>
      <c r="B41" s="74" t="inlineStr"/>
      <c r="C41" s="29" t="inlineStr">
        <is>
          <t>kgCO₂e/m²</t>
        </is>
      </c>
      <c r="D41" s="47" t="n">
        <v>200</v>
      </c>
      <c r="E41" s="47" t="n">
        <v>180</v>
      </c>
      <c r="F41" s="47" t="n">
        <v>150</v>
      </c>
      <c r="G41" s="29" t="n">
        <v>100</v>
      </c>
      <c r="H41" s="86" t="inlineStr"/>
      <c r="I41" s="86" t="inlineStr"/>
      <c r="J41" s="29" t="inlineStr"/>
    </row>
    <row r="42">
      <c r="A42" s="45" t="inlineStr">
        <is>
          <t>单位面积运行阶段碳排放</t>
        </is>
      </c>
      <c r="B42" s="74" t="inlineStr"/>
      <c r="C42" s="29" t="inlineStr">
        <is>
          <t>kgCO₂e/(m²·a)</t>
        </is>
      </c>
      <c r="D42" s="47" t="n">
        <v>75</v>
      </c>
      <c r="E42" s="47" t="n">
        <v>65</v>
      </c>
      <c r="F42" s="47" t="n">
        <v>50</v>
      </c>
      <c r="G42" s="29" t="n">
        <v>35</v>
      </c>
      <c r="H42" s="86" t="inlineStr"/>
      <c r="I42" s="86" t="inlineStr"/>
      <c r="J42" s="29" t="inlineStr"/>
    </row>
    <row r="43">
      <c r="A43" s="45" t="inlineStr">
        <is>
          <t>单位面积全生命周期碳排放</t>
        </is>
      </c>
      <c r="B43" s="74" t="inlineStr"/>
      <c r="C43" s="29" t="inlineStr">
        <is>
          <t>kgCO₂e/m²</t>
        </is>
      </c>
      <c r="D43" s="47" t="n">
        <v>850</v>
      </c>
      <c r="E43" s="47" t="n">
        <v>750</v>
      </c>
      <c r="F43" s="47" t="n">
        <v>600</v>
      </c>
      <c r="G43" s="29" t="n">
        <v>450</v>
      </c>
      <c r="H43" s="86" t="inlineStr"/>
      <c r="I43" s="86" t="inlineStr"/>
      <c r="J43" s="29" t="inlineStr"/>
    </row>
    <row r="44">
      <c r="A44" s="45" t="inlineStr">
        <is>
          <t>人均运行阶段碳排放</t>
        </is>
      </c>
      <c r="B44" s="74" t="inlineStr"/>
      <c r="C44" s="29" t="inlineStr">
        <is>
          <t>tCO₂e/(人·a)</t>
        </is>
      </c>
      <c r="D44" s="47" t="n">
        <v>5</v>
      </c>
      <c r="E44" s="47" t="n">
        <v>4.5</v>
      </c>
      <c r="F44" s="47" t="n">
        <v>3.5</v>
      </c>
      <c r="G44" s="29" t="n">
        <v>2.5</v>
      </c>
      <c r="H44" s="86" t="inlineStr"/>
      <c r="I44" s="86" t="inlineStr"/>
      <c r="J44" s="29" t="inlineStr"/>
    </row>
    <row r="45">
      <c r="A45" s="45" t="inlineStr">
        <is>
          <t>单位建筑面积综合能耗</t>
        </is>
      </c>
      <c r="B45" s="74" t="inlineStr"/>
      <c r="C45" s="29" t="inlineStr">
        <is>
          <t>kgce/(m²·a)</t>
        </is>
      </c>
      <c r="D45" s="47" t="n">
        <v>25</v>
      </c>
      <c r="E45" s="47" t="n">
        <v>22</v>
      </c>
      <c r="F45" s="47" t="n">
        <v>18</v>
      </c>
      <c r="G45" s="29" t="n">
        <v>12</v>
      </c>
      <c r="H45" s="86" t="inlineStr"/>
      <c r="I45" s="86" t="inlineStr"/>
      <c r="J45" s="29" t="inlineStr"/>
    </row>
    <row r="46">
      <c r="A46" s="45" t="inlineStr">
        <is>
          <t>可再生能源利用率</t>
        </is>
      </c>
      <c r="B46" s="74" t="inlineStr"/>
      <c r="C46" s="29" t="inlineStr">
        <is>
          <t>%</t>
        </is>
      </c>
      <c r="D46" s="47" t="n">
        <v>5</v>
      </c>
      <c r="E46" s="47" t="n">
        <v>10</v>
      </c>
      <c r="F46" s="47" t="n">
        <v>20</v>
      </c>
      <c r="G46" s="29" t="n">
        <v>40</v>
      </c>
      <c r="H46" s="86" t="inlineStr"/>
      <c r="I46" s="86" t="inlineStr"/>
      <c r="J46" s="29" t="inlineStr"/>
    </row>
    <row r="47">
      <c r="A47" s="45" t="inlineStr">
        <is>
          <t>碳排放强度等级</t>
        </is>
      </c>
      <c r="B47" s="74" t="inlineStr"/>
      <c r="C47" s="29" t="inlineStr">
        <is>
          <t>级</t>
        </is>
      </c>
      <c r="D47" s="47" t="inlineStr">
        <is>
          <t>-</t>
        </is>
      </c>
      <c r="E47" s="47" t="inlineStr">
        <is>
          <t>-</t>
        </is>
      </c>
      <c r="F47" s="47" t="inlineStr">
        <is>
          <t>-</t>
        </is>
      </c>
      <c r="G47" s="29" t="inlineStr">
        <is>
          <t>-</t>
        </is>
      </c>
      <c r="H47" s="86" t="inlineStr"/>
      <c r="I47" s="86" t="inlineStr">
        <is>
          <t>□优秀 □良好 □合格 □不合格</t>
        </is>
      </c>
      <c r="J47" s="29" t="inlineStr"/>
    </row>
    <row r="50">
      <c r="A50" s="83" t="inlineStr">
        <is>
          <t>四、碳排放核算结论与减排建议</t>
        </is>
      </c>
    </row>
    <row r="51">
      <c r="A51" s="87" t="inlineStr">
        <is>
          <t>【核算结论】
1. 建筑全生命周期碳排放总量为 _____ tCO₂e
2. 运行阶段碳排放占比最高，达到 _____%
3. 单位面积碳排放强度为 _____ kgCO₂e/m²
4. 碳排放强度等级评定为：________
【主要减排建议】
1. 优化暖通空调系统运行策略，提高能效，预计可减排 ____ tCO₂e/a
2. 增加可再生能源利用比例至 ____%，预计可减排 ____ tCO₂e/a
3. 加强照明系统节能改造，采用LED和智能控制，预计可减排 ____ tCO₂e/a
4. 推进绿色建筑建材采购，提高再生材料使用比例，预计可减排 ____ tCO₂e
5. 建立碳排放监测平台，实现能耗数据实时监测和分析
6. 探索碳排放权交易，通过市场机制降低碳成本
7. 制定碳中和路线图，明确阶段性目标和实施路径</t>
        </is>
      </c>
    </row>
    <row r="52"/>
    <row r="53"/>
    <row r="54"/>
    <row r="55"/>
    <row r="56"/>
    <row r="57"/>
  </sheetData>
  <mergeCells count="7">
    <mergeCell ref="A1:J1"/>
    <mergeCell ref="A39:J39"/>
    <mergeCell ref="A50:J50"/>
    <mergeCell ref="A4:J4"/>
    <mergeCell ref="A51:J57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2026-04-06T04:46:25Z</dcterms:created>
  <dcterms:modified xmlns:dcterms="http://purl.org/dc/terms/" xmlns:xsi="http://www.w3.org/2001/XMLSchema-instance" xsi:type="dcterms:W3CDTF">2026-04-06T04:46:25Z</dcterms:modified>
</cp:coreProperties>
</file>